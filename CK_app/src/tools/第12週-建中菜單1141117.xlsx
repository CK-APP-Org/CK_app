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建中\114上\"/>
    </mc:Choice>
  </mc:AlternateContent>
  <xr:revisionPtr revIDLastSave="0" documentId="13_ncr:1_{C3866EFC-3397-4E90-81C2-B4AC36F796E5}" xr6:coauthVersionLast="47" xr6:coauthVersionMax="47" xr10:uidLastSave="{00000000-0000-0000-0000-000000000000}"/>
  <bookViews>
    <workbookView xWindow="-98" yWindow="-98" windowWidth="21795" windowHeight="12975" tabRatio="383" activeTab="1" xr2:uid="{00000000-000D-0000-FFFF-FFFF00000000}"/>
  </bookViews>
  <sheets>
    <sheet name="預購單 " sheetId="11" r:id="rId1"/>
    <sheet name="週菜單" sheetId="4" r:id="rId2"/>
    <sheet name="1117" sheetId="9" r:id="rId3"/>
    <sheet name="食登" sheetId="7" r:id="rId4"/>
    <sheet name="麵食資料庫" sheetId="12" r:id="rId5"/>
    <sheet name="簡餐資料庫" sheetId="13" r:id="rId6"/>
  </sheets>
  <externalReferences>
    <externalReference r:id="rId7"/>
  </externalReferences>
  <definedNames>
    <definedName name="_xlnm.Print_Area" localSheetId="1">週菜單!$A$1:$AD$28</definedName>
    <definedName name="_xlnm.Print_Area" localSheetId="0">'預購單 '!$A$1:$K$46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4" i="4" l="1"/>
  <c r="R24" i="4"/>
  <c r="L24" i="4"/>
  <c r="X23" i="4"/>
  <c r="R23" i="4"/>
  <c r="L23" i="4"/>
  <c r="X22" i="4"/>
  <c r="R22" i="4"/>
  <c r="L22" i="4"/>
  <c r="X17" i="4"/>
  <c r="R17" i="4"/>
  <c r="L17" i="4"/>
  <c r="X16" i="4"/>
  <c r="R16" i="4"/>
  <c r="L16" i="4"/>
  <c r="X15" i="4"/>
  <c r="R15" i="4"/>
  <c r="L15" i="4"/>
  <c r="X11" i="4"/>
  <c r="R11" i="4"/>
  <c r="L11" i="4"/>
  <c r="X10" i="4"/>
  <c r="R10" i="4"/>
  <c r="L10" i="4"/>
  <c r="X9" i="4"/>
  <c r="R9" i="4"/>
  <c r="L9" i="4"/>
  <c r="X8" i="4"/>
  <c r="R8" i="4"/>
  <c r="L8" i="4"/>
  <c r="F24" i="4"/>
  <c r="F23" i="4"/>
  <c r="F22" i="4"/>
  <c r="F17" i="4"/>
  <c r="F16" i="4"/>
  <c r="F15" i="4"/>
  <c r="F11" i="4"/>
  <c r="F10" i="4"/>
  <c r="F9" i="4"/>
  <c r="F8" i="4"/>
  <c r="O42" i="11" l="1"/>
  <c r="O41" i="11"/>
  <c r="O40" i="11"/>
  <c r="P38" i="11"/>
  <c r="V38" i="11" s="1"/>
  <c r="O36" i="11"/>
  <c r="O35" i="11"/>
  <c r="O34" i="11"/>
  <c r="O33" i="11"/>
  <c r="O32" i="11"/>
  <c r="S30" i="11"/>
  <c r="M30" i="11"/>
  <c r="P30" i="11" s="1"/>
  <c r="V30" i="11" s="1"/>
  <c r="O26" i="11"/>
  <c r="C26" i="11"/>
  <c r="O25" i="11"/>
  <c r="C25" i="11"/>
  <c r="O24" i="11"/>
  <c r="C24" i="11"/>
  <c r="P22" i="11"/>
  <c r="V22" i="11" s="1"/>
  <c r="O20" i="11"/>
  <c r="C20" i="11"/>
  <c r="O19" i="11"/>
  <c r="O18" i="11"/>
  <c r="C18" i="11"/>
  <c r="O17" i="11"/>
  <c r="C17" i="11"/>
  <c r="O16" i="11"/>
  <c r="C16" i="11"/>
  <c r="A14" i="11"/>
  <c r="A22" i="11" s="1"/>
  <c r="O12" i="11"/>
  <c r="U12" i="11" s="1"/>
  <c r="C12" i="11"/>
  <c r="I12" i="11" s="1"/>
  <c r="O11" i="11"/>
  <c r="U11" i="11" s="1"/>
  <c r="C11" i="11"/>
  <c r="I11" i="11" s="1"/>
  <c r="O10" i="11"/>
  <c r="U10" i="11" s="1"/>
  <c r="C10" i="11"/>
  <c r="I10" i="11" s="1"/>
  <c r="O9" i="11"/>
  <c r="U9" i="11" s="1"/>
  <c r="C9" i="11"/>
  <c r="I9" i="11" s="1"/>
  <c r="O8" i="11"/>
  <c r="U8" i="11" s="1"/>
  <c r="C8" i="11"/>
  <c r="I8" i="11" s="1"/>
  <c r="G6" i="11"/>
  <c r="D6" i="11"/>
  <c r="J6" i="11" s="1"/>
  <c r="D22" i="11" l="1"/>
  <c r="J22" i="11" s="1"/>
  <c r="A30" i="11"/>
  <c r="M6" i="11"/>
  <c r="G22" i="11"/>
  <c r="D14" i="11"/>
  <c r="J14" i="11" s="1"/>
  <c r="G14" i="11"/>
  <c r="S6" i="11" l="1"/>
  <c r="M14" i="11"/>
  <c r="P6" i="11"/>
  <c r="V6" i="11" s="1"/>
  <c r="G30" i="11"/>
  <c r="D30" i="11"/>
  <c r="J30" i="11" s="1"/>
  <c r="A38" i="11"/>
  <c r="G38" i="11" l="1"/>
  <c r="D38" i="11"/>
  <c r="J38" i="11" s="1"/>
  <c r="S14" i="11"/>
  <c r="P14" i="11"/>
  <c r="V14" i="11" s="1"/>
  <c r="K40" i="9" l="1"/>
  <c r="L40" i="9"/>
  <c r="M40" i="9"/>
  <c r="L32" i="9"/>
  <c r="K32" i="9"/>
  <c r="M32" i="9"/>
  <c r="K24" i="9"/>
  <c r="L24" i="9"/>
  <c r="M24" i="9"/>
  <c r="K16" i="9"/>
  <c r="L16" i="9"/>
  <c r="M16" i="9"/>
  <c r="K8" i="9"/>
  <c r="L8" i="9"/>
  <c r="M8" i="9"/>
  <c r="C40" i="9"/>
  <c r="C32" i="9"/>
  <c r="C24" i="9"/>
  <c r="C16" i="9"/>
  <c r="C8" i="9"/>
  <c r="J16" i="9" l="1"/>
  <c r="K11" i="4" s="1"/>
  <c r="J32" i="9"/>
  <c r="W11" i="4" s="1"/>
  <c r="J8" i="9"/>
  <c r="E11" i="4" s="1"/>
  <c r="J40" i="9"/>
  <c r="J24" i="9"/>
  <c r="Q11" i="4" s="1"/>
  <c r="K39" i="9"/>
  <c r="L39" i="9"/>
  <c r="M39" i="9"/>
  <c r="K31" i="9"/>
  <c r="L31" i="9"/>
  <c r="M31" i="9"/>
  <c r="K23" i="9"/>
  <c r="L23" i="9"/>
  <c r="M23" i="9"/>
  <c r="K15" i="9"/>
  <c r="L15" i="9"/>
  <c r="M15" i="9"/>
  <c r="K7" i="9"/>
  <c r="L7" i="9"/>
  <c r="M7" i="9"/>
  <c r="N39" i="9"/>
  <c r="N31" i="9"/>
  <c r="N23" i="9"/>
  <c r="N15" i="9"/>
  <c r="N7" i="9"/>
  <c r="C39" i="9"/>
  <c r="C31" i="9"/>
  <c r="C23" i="9"/>
  <c r="C15" i="9"/>
  <c r="C7" i="9"/>
  <c r="A12" i="9"/>
  <c r="A5" i="4"/>
  <c r="J15" i="9" l="1"/>
  <c r="K10" i="4" s="1"/>
  <c r="J23" i="9"/>
  <c r="Q10" i="4" s="1"/>
  <c r="J7" i="9"/>
  <c r="E10" i="4" s="1"/>
  <c r="J31" i="9"/>
  <c r="W10" i="4" s="1"/>
  <c r="J39" i="9"/>
  <c r="C42" i="9"/>
  <c r="N38" i="9" l="1"/>
  <c r="N30" i="9"/>
  <c r="N22" i="9"/>
  <c r="N14" i="9"/>
  <c r="N6" i="9"/>
  <c r="C14" i="9" l="1"/>
  <c r="C11" i="9" l="1"/>
  <c r="C33" i="9" l="1"/>
  <c r="A20" i="9" l="1"/>
  <c r="A28" i="9" s="1"/>
  <c r="A36" i="9" s="1"/>
  <c r="V3" i="7" l="1"/>
  <c r="C30" i="9" l="1"/>
  <c r="X6" i="7" l="1"/>
  <c r="X5" i="7"/>
  <c r="X4" i="7"/>
  <c r="X3" i="7"/>
  <c r="X2" i="7"/>
  <c r="W6" i="7"/>
  <c r="W5" i="7"/>
  <c r="W4" i="7"/>
  <c r="W3" i="7"/>
  <c r="W2" i="7"/>
  <c r="V6" i="7"/>
  <c r="V5" i="7"/>
  <c r="V4" i="7"/>
  <c r="V2" i="7"/>
  <c r="U6" i="7"/>
  <c r="U5" i="7"/>
  <c r="U4" i="7"/>
  <c r="U3" i="7"/>
  <c r="U2" i="7"/>
  <c r="T6" i="7"/>
  <c r="T5" i="7"/>
  <c r="T4" i="7"/>
  <c r="T3" i="7"/>
  <c r="T2" i="7"/>
  <c r="S6" i="7"/>
  <c r="S5" i="7"/>
  <c r="S4" i="7"/>
  <c r="S3" i="7"/>
  <c r="S2" i="7"/>
  <c r="R6" i="7"/>
  <c r="R5" i="7"/>
  <c r="R4" i="7"/>
  <c r="R3" i="7"/>
  <c r="R2" i="7"/>
  <c r="Q6" i="7"/>
  <c r="Q5" i="7"/>
  <c r="Q4" i="7"/>
  <c r="Q3" i="7"/>
  <c r="Q2" i="7"/>
  <c r="P6" i="7"/>
  <c r="P5" i="7"/>
  <c r="P4" i="7"/>
  <c r="P3" i="7"/>
  <c r="P2" i="7"/>
  <c r="O6" i="7"/>
  <c r="O5" i="7"/>
  <c r="O4" i="7"/>
  <c r="O3" i="7"/>
  <c r="O2" i="7"/>
  <c r="N6" i="7"/>
  <c r="N5" i="7"/>
  <c r="N4" i="7"/>
  <c r="N3" i="7"/>
  <c r="N2" i="7"/>
  <c r="M6" i="7"/>
  <c r="M5" i="7"/>
  <c r="M4" i="7"/>
  <c r="M3" i="7"/>
  <c r="M2" i="7"/>
  <c r="B2" i="7"/>
  <c r="C18" i="9"/>
  <c r="C43" i="9" l="1"/>
  <c r="M43" i="9"/>
  <c r="L43" i="9"/>
  <c r="K43" i="9"/>
  <c r="J43" i="9" l="1"/>
  <c r="C34" i="9"/>
  <c r="C35" i="9"/>
  <c r="C26" i="9"/>
  <c r="C27" i="9"/>
  <c r="C19" i="9"/>
  <c r="C10" i="9"/>
  <c r="C12" i="9" l="1"/>
  <c r="C13" i="9"/>
  <c r="C17" i="9"/>
  <c r="C20" i="9"/>
  <c r="C21" i="9"/>
  <c r="C22" i="9"/>
  <c r="N5" i="9" l="1"/>
  <c r="C4" i="9"/>
  <c r="C5" i="9"/>
  <c r="C6" i="9"/>
  <c r="C9" i="9"/>
  <c r="C25" i="9"/>
  <c r="C28" i="9"/>
  <c r="C29" i="9"/>
  <c r="C36" i="9"/>
  <c r="C37" i="9"/>
  <c r="C38" i="9"/>
  <c r="C41" i="9"/>
  <c r="N37" i="9" l="1"/>
  <c r="N36" i="9"/>
  <c r="N29" i="9"/>
  <c r="N28" i="9"/>
  <c r="N21" i="9"/>
  <c r="N20" i="9"/>
  <c r="N13" i="9"/>
  <c r="N12" i="9"/>
  <c r="N4" i="9"/>
  <c r="B4" i="9"/>
  <c r="M42" i="9"/>
  <c r="L42" i="9"/>
  <c r="K42" i="9"/>
  <c r="M41" i="9"/>
  <c r="L41" i="9"/>
  <c r="K41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6" i="9"/>
  <c r="L6" i="9"/>
  <c r="K6" i="9"/>
  <c r="M5" i="9"/>
  <c r="L5" i="9"/>
  <c r="K5" i="9"/>
  <c r="M4" i="9"/>
  <c r="L4" i="9"/>
  <c r="K4" i="9"/>
  <c r="J42" i="9" l="1"/>
  <c r="J27" i="9"/>
  <c r="Q24" i="4" s="1"/>
  <c r="J9" i="9"/>
  <c r="E22" i="4" s="1"/>
  <c r="J21" i="9"/>
  <c r="Q8" i="4" s="1"/>
  <c r="J6" i="9"/>
  <c r="E9" i="4" s="1"/>
  <c r="J11" i="9"/>
  <c r="E24" i="4" s="1"/>
  <c r="J36" i="9"/>
  <c r="J38" i="9"/>
  <c r="J25" i="9"/>
  <c r="Q22" i="4" s="1"/>
  <c r="J37" i="9"/>
  <c r="J41" i="9"/>
  <c r="J26" i="9"/>
  <c r="Q23" i="4" s="1"/>
  <c r="J10" i="9"/>
  <c r="E23" i="4" s="1"/>
  <c r="J5" i="9"/>
  <c r="E8" i="4" s="1"/>
  <c r="J4" i="9"/>
  <c r="E7" i="4" s="1"/>
  <c r="J20" i="9"/>
  <c r="Q7" i="4" s="1"/>
  <c r="J12" i="9"/>
  <c r="K7" i="4" s="1"/>
  <c r="J30" i="9"/>
  <c r="W9" i="4" s="1"/>
  <c r="J17" i="9"/>
  <c r="K22" i="4" s="1"/>
  <c r="J22" i="9"/>
  <c r="Q9" i="4" s="1"/>
  <c r="J29" i="9"/>
  <c r="W8" i="4" s="1"/>
  <c r="J34" i="9"/>
  <c r="W23" i="4" s="1"/>
  <c r="J14" i="9"/>
  <c r="K9" i="4" s="1"/>
  <c r="J28" i="9"/>
  <c r="W7" i="4" s="1"/>
  <c r="J33" i="9"/>
  <c r="W22" i="4" s="1"/>
  <c r="J19" i="9"/>
  <c r="K24" i="4" s="1"/>
  <c r="J13" i="9"/>
  <c r="K8" i="4" s="1"/>
  <c r="J18" i="9"/>
  <c r="K23" i="4" s="1"/>
  <c r="J35" i="9"/>
  <c r="W24" i="4" s="1"/>
  <c r="G4" i="4" l="1"/>
  <c r="B12" i="9" l="1"/>
  <c r="B3" i="7"/>
  <c r="G5" i="4"/>
  <c r="M4" i="4"/>
  <c r="B4" i="7" s="1"/>
  <c r="B20" i="9" l="1"/>
  <c r="M5" i="4"/>
  <c r="S4" i="4"/>
  <c r="B28" i="9" l="1"/>
  <c r="B5" i="7"/>
  <c r="Y4" i="4"/>
  <c r="AE4" i="4" s="1"/>
  <c r="S5" i="4"/>
  <c r="AE5" i="4" l="1"/>
  <c r="B36" i="9"/>
  <c r="B6" i="7"/>
  <c r="Y5" i="4"/>
</calcChain>
</file>

<file path=xl/sharedStrings.xml><?xml version="1.0" encoding="utf-8"?>
<sst xmlns="http://schemas.openxmlformats.org/spreadsheetml/2006/main" count="1146" uniqueCount="486">
  <si>
    <t>品　　　　名</t>
    <phoneticPr fontId="3" type="noConversion"/>
  </si>
  <si>
    <t>數量</t>
    <phoneticPr fontId="3" type="noConversion"/>
  </si>
  <si>
    <t>總      計</t>
    <phoneticPr fontId="3" type="noConversion"/>
  </si>
  <si>
    <t>便當副菜</t>
    <phoneticPr fontId="3" type="noConversion"/>
  </si>
  <si>
    <t>季節時蔬</t>
  </si>
  <si>
    <t>熱食部     週菜單熱量參考表</t>
    <phoneticPr fontId="1" type="noConversion"/>
  </si>
  <si>
    <t>【本餐廳豬肉及豬肉加工製品一律使用台灣國產豬肉】</t>
  </si>
  <si>
    <t>日期</t>
  </si>
  <si>
    <t>星期</t>
    <phoneticPr fontId="1" type="noConversion"/>
  </si>
  <si>
    <t>菜單</t>
  </si>
  <si>
    <t>全榖雜糧*</t>
    <phoneticPr fontId="1" type="noConversion"/>
  </si>
  <si>
    <t>油脂與堅果種子*</t>
  </si>
  <si>
    <t>蔬菜*</t>
  </si>
  <si>
    <t>乳品*</t>
  </si>
  <si>
    <t>水果*</t>
  </si>
  <si>
    <t>豆魚蛋肉*</t>
    <phoneticPr fontId="1" type="noConversion"/>
  </si>
  <si>
    <t>熱量*</t>
  </si>
  <si>
    <t>蛋白質</t>
  </si>
  <si>
    <t>脂肪</t>
  </si>
  <si>
    <t>醣類</t>
  </si>
  <si>
    <t>副菜</t>
  </si>
  <si>
    <t>學校*</t>
  </si>
  <si>
    <t>日期*</t>
  </si>
  <si>
    <t>出餐類型*</t>
  </si>
  <si>
    <t>全穀雜糧*</t>
  </si>
  <si>
    <t>豆魚蛋肉*</t>
  </si>
  <si>
    <t>主食*</t>
  </si>
  <si>
    <t>主食</t>
  </si>
  <si>
    <t>主菜</t>
  </si>
  <si>
    <t>蔬菜</t>
  </si>
  <si>
    <t>湯品</t>
  </si>
  <si>
    <t>附餐</t>
  </si>
  <si>
    <t>新北市泰山區泰山高中</t>
  </si>
  <si>
    <t>午餐</t>
  </si>
  <si>
    <t>6</t>
  </si>
  <si>
    <t>3</t>
  </si>
  <si>
    <t>1.2</t>
  </si>
  <si>
    <t>0</t>
  </si>
  <si>
    <t>809</t>
  </si>
  <si>
    <t>白飯</t>
  </si>
  <si>
    <t/>
  </si>
  <si>
    <t>素食便當</t>
  </si>
  <si>
    <t>簡餐</t>
    <phoneticPr fontId="1" type="noConversion"/>
  </si>
  <si>
    <t>麵食</t>
    <phoneticPr fontId="1" type="noConversion"/>
  </si>
  <si>
    <t>鐵板豆芽</t>
  </si>
  <si>
    <t>水餃</t>
    <phoneticPr fontId="1" type="noConversion"/>
  </si>
  <si>
    <t>雞排奶油培根麵</t>
    <phoneticPr fontId="1" type="noConversion"/>
  </si>
  <si>
    <t>培根鮪魚義大利麵</t>
    <phoneticPr fontId="1" type="noConversion"/>
  </si>
  <si>
    <t>泰式打拋豬</t>
    <phoneticPr fontId="1" type="noConversion"/>
  </si>
  <si>
    <t>蒜香豬肉</t>
    <phoneticPr fontId="1" type="noConversion"/>
  </si>
  <si>
    <t>和風親子丼</t>
    <phoneticPr fontId="1" type="noConversion"/>
  </si>
  <si>
    <t>咖哩馬鈴薯</t>
  </si>
  <si>
    <t>豆芽炒豆腸</t>
  </si>
  <si>
    <t>培根玉米</t>
  </si>
  <si>
    <t>炒高麗菜</t>
  </si>
  <si>
    <t>本餐廳所使用使用豬肉原料原產地皆為臺灣。未使用輻射汙染食品。</t>
    <phoneticPr fontId="1" type="noConversion"/>
  </si>
  <si>
    <t>項次</t>
    <phoneticPr fontId="1" type="noConversion"/>
  </si>
  <si>
    <t>價格</t>
    <phoneticPr fontId="1" type="noConversion"/>
  </si>
  <si>
    <t>餐別</t>
    <phoneticPr fontId="1" type="noConversion"/>
  </si>
  <si>
    <t>主要烹調方式</t>
    <phoneticPr fontId="1" type="noConversion"/>
  </si>
  <si>
    <t>依教育部學校午餐食物內容及營養基準，每日午餐供應全榖雜糧類5~6.5份、豆魚蛋肉類2~2.5份、蔬菜類1.5~2份、油脂與堅果種子類2.5~3份。</t>
    <phoneticPr fontId="1" type="noConversion"/>
  </si>
  <si>
    <t>雞腿飯</t>
  </si>
  <si>
    <t xml:space="preserve">      建中熱食部  午餐菜單     </t>
    <phoneticPr fontId="1" type="noConversion"/>
  </si>
  <si>
    <t>黑胡椒豬排</t>
  </si>
  <si>
    <t>招牌燒肉</t>
  </si>
  <si>
    <t>糖醋雞丁</t>
  </si>
  <si>
    <t>宮保豬肉</t>
  </si>
  <si>
    <t>泰式花枝排</t>
  </si>
  <si>
    <t>孜然烤肉</t>
  </si>
  <si>
    <t>滑蛋豬肉燴飯</t>
  </si>
  <si>
    <t>沙茶肉片</t>
  </si>
  <si>
    <t>培根蛋炒飯</t>
  </si>
  <si>
    <t>香酥柳葉魚</t>
  </si>
  <si>
    <t>酸菜麵腸</t>
  </si>
  <si>
    <t>雙色南瓜</t>
  </si>
  <si>
    <t>彩椒干丁</t>
  </si>
  <si>
    <t>西芹鮮菇</t>
  </si>
  <si>
    <t>沙茶冬粉</t>
  </si>
  <si>
    <t>三色干絲</t>
  </si>
  <si>
    <t>麻香黃豆芽</t>
  </si>
  <si>
    <t>番茄豆腐</t>
  </si>
  <si>
    <t>kcal</t>
    <phoneticPr fontId="1" type="noConversion"/>
  </si>
  <si>
    <t>紅燒獅子頭蓋飯</t>
  </si>
  <si>
    <t>蒟蒻大黃瓜</t>
  </si>
  <si>
    <t>味噌烏龍麵</t>
  </si>
  <si>
    <t>雞排乾拌麵</t>
  </si>
  <si>
    <t>糖醋</t>
  </si>
  <si>
    <t>炒</t>
  </si>
  <si>
    <t>炸</t>
  </si>
  <si>
    <t>滷</t>
  </si>
  <si>
    <t xml:space="preserve">建國高中   午餐便當預購單 -2 </t>
    <phoneticPr fontId="3" type="noConversion"/>
  </si>
  <si>
    <r>
      <t>預購便當請確實填寫</t>
    </r>
    <r>
      <rPr>
        <b/>
        <sz val="14"/>
        <color theme="1"/>
        <rFont val="微軟正黑體"/>
        <family val="2"/>
        <charset val="136"/>
      </rPr>
      <t>班級、數量、金額</t>
    </r>
    <r>
      <rPr>
        <sz val="14"/>
        <color theme="1"/>
        <rFont val="微軟正黑體"/>
        <family val="2"/>
        <charset val="136"/>
      </rPr>
      <t>，收齊費用交至熱食部統計辦理。</t>
    </r>
    <phoneticPr fontId="1" type="noConversion"/>
  </si>
  <si>
    <t>請於12:00取餐</t>
    <phoneticPr fontId="3" type="noConversion"/>
  </si>
  <si>
    <t>｜</t>
  </si>
  <si>
    <t>本餐廳所使用使用豬肉原料原產地皆為臺灣。本餐廳未使用輻射汙染食品。</t>
    <phoneticPr fontId="3" type="noConversion"/>
  </si>
  <si>
    <t>訂餐聯(熱食部留存)</t>
    <phoneticPr fontId="1" type="noConversion"/>
  </si>
  <si>
    <t>存根聯(學生留存)</t>
    <phoneticPr fontId="1" type="noConversion"/>
  </si>
  <si>
    <t>班級：</t>
    <phoneticPr fontId="3" type="noConversion"/>
  </si>
  <si>
    <t>單價</t>
    <phoneticPr fontId="3" type="noConversion"/>
  </si>
  <si>
    <t>小計</t>
    <phoneticPr fontId="3" type="noConversion"/>
  </si>
  <si>
    <t>訂購座號</t>
    <phoneticPr fontId="3" type="noConversion"/>
  </si>
  <si>
    <t>蒜味拳骨拉麵</t>
  </si>
  <si>
    <t>建國高中   熱食部午餐便當預購單</t>
    <phoneticPr fontId="3" type="noConversion"/>
  </si>
  <si>
    <t>香酥雞排</t>
  </si>
  <si>
    <t>七味雞排</t>
  </si>
  <si>
    <t>韓式燒雞</t>
  </si>
  <si>
    <t>鐵板豬柳</t>
  </si>
  <si>
    <t>打拋豬蓋飯</t>
  </si>
  <si>
    <t>蝦捲香腸蓋飯</t>
  </si>
  <si>
    <t>泰式酸辣燒肉拌麵</t>
  </si>
  <si>
    <t>餛飩貢丸乾拌麵</t>
  </si>
  <si>
    <t>素食便當</t>
    <phoneticPr fontId="1" type="noConversion"/>
  </si>
  <si>
    <t>蒜香炸豬排</t>
  </si>
  <si>
    <t>酥炸腿排</t>
  </si>
  <si>
    <t>味噌薑燒豬</t>
  </si>
  <si>
    <t>夏威夷炒飯</t>
  </si>
  <si>
    <t>鮭魚蛋炒飯</t>
  </si>
  <si>
    <t>日式關東煮</t>
  </si>
  <si>
    <t>紅燒排骨麵</t>
  </si>
  <si>
    <t>日式魚排</t>
  </si>
  <si>
    <t>義式培根義大利麵</t>
  </si>
  <si>
    <t>茄汁肉醬蓋飯</t>
  </si>
  <si>
    <t>滷味燙套餐</t>
  </si>
  <si>
    <t>過敏原</t>
    <phoneticPr fontId="1" type="noConversion"/>
  </si>
  <si>
    <r>
      <t>本菜單部分食材含有衛福部公告11種過敏原，不適合對其過敏體質者食用，有關食材資訊請至校園食材登錄平臺查詢。</t>
    </r>
    <r>
      <rPr>
        <b/>
        <sz val="20"/>
        <rFont val="微軟正黑體"/>
        <family val="2"/>
        <charset val="136"/>
      </rPr>
      <t xml:space="preserve">
過敏原標示：於菜色名稱後方：Ａ甲殼類、Ｂ花生類、Ｃ奶類、D魚類、E蛋類、F豆類、G堅果類、H含麩類、I芒果、J含亞硝酸鹽類、K芝麻類</t>
    </r>
    <phoneticPr fontId="1" type="noConversion"/>
  </si>
  <si>
    <t>H</t>
    <phoneticPr fontId="1" type="noConversion"/>
  </si>
  <si>
    <t>E</t>
    <phoneticPr fontId="1" type="noConversion"/>
  </si>
  <si>
    <t>F</t>
    <phoneticPr fontId="1" type="noConversion"/>
  </si>
  <si>
    <t>DH</t>
    <phoneticPr fontId="1" type="noConversion"/>
  </si>
  <si>
    <t>EJ</t>
    <phoneticPr fontId="1" type="noConversion"/>
  </si>
  <si>
    <t>D</t>
    <phoneticPr fontId="1" type="noConversion"/>
  </si>
  <si>
    <t>紅燒牛肉麵</t>
  </si>
  <si>
    <t>白油炒手麵</t>
  </si>
  <si>
    <t>H</t>
  </si>
  <si>
    <t>沙茶豬肉火鍋</t>
  </si>
  <si>
    <t>韓式部隊鍋</t>
  </si>
  <si>
    <t>DH</t>
  </si>
  <si>
    <t>CDHJ</t>
  </si>
  <si>
    <t>餐別</t>
  </si>
  <si>
    <t>價格</t>
  </si>
  <si>
    <t>主要烹調方式</t>
  </si>
  <si>
    <t>kcal</t>
  </si>
  <si>
    <t>過敏原</t>
  </si>
  <si>
    <t>DEFH</t>
  </si>
  <si>
    <t>HJ</t>
  </si>
  <si>
    <t>泰式叻沙燒肉麵</t>
  </si>
  <si>
    <t>白醬培根義大利麵</t>
  </si>
  <si>
    <t>EHJ</t>
  </si>
  <si>
    <t>什錦鍋燒意麵</t>
  </si>
  <si>
    <t>豬排麻醬麵</t>
  </si>
  <si>
    <t>E</t>
  </si>
  <si>
    <t>彩椒雞丁</t>
  </si>
  <si>
    <t>烤</t>
  </si>
  <si>
    <t>煮</t>
  </si>
  <si>
    <t>墨西哥烤雞腿</t>
  </si>
  <si>
    <t>D</t>
  </si>
  <si>
    <t>滷香爌肉</t>
  </si>
  <si>
    <t>EJ</t>
  </si>
  <si>
    <t>南蠻雞肉丼</t>
  </si>
  <si>
    <t>燴</t>
  </si>
  <si>
    <t>F</t>
  </si>
  <si>
    <t>玉筍花椰</t>
  </si>
  <si>
    <t>玉米炒蛋</t>
  </si>
  <si>
    <t>什錦海結</t>
  </si>
  <si>
    <t>Ａ甲殼類、Ｂ花生類、Ｃ奶類、D魚類、E蛋類、F豆類、G堅果類、H含麩類、I芒果、J含亞硝酸鹽類、K芝麻類</t>
  </si>
  <si>
    <t>三杯雞丁</t>
  </si>
  <si>
    <t>泰式魚排</t>
  </si>
  <si>
    <t>蒲燒鯛蓋飯</t>
  </si>
  <si>
    <t>秀珍菇胡瓜</t>
  </si>
  <si>
    <t>螞蟻上樹</t>
  </si>
  <si>
    <t>黑輪炒韭黃</t>
  </si>
  <si>
    <t>壽喜燒豬肉鍋</t>
  </si>
  <si>
    <t>餛飩貢丸麵</t>
  </si>
  <si>
    <t>重慶小麵</t>
  </si>
  <si>
    <t>南洋咖哩雞</t>
  </si>
  <si>
    <t>蒜泥白肉</t>
  </si>
  <si>
    <t>椒鹽里肌</t>
  </si>
  <si>
    <t>咖哩百頁</t>
  </si>
  <si>
    <t>四季豆炒花干</t>
  </si>
  <si>
    <t>味噌燒肉麵</t>
  </si>
  <si>
    <t>烤雞腿乾拌麵</t>
  </si>
  <si>
    <t>宮保雞丁</t>
  </si>
  <si>
    <t>香滷豬排</t>
  </si>
  <si>
    <t>日式燒肉</t>
  </si>
  <si>
    <t>沙茶豬肉燴飯</t>
  </si>
  <si>
    <t>針菇海帶絲</t>
  </si>
  <si>
    <t>小瓜炒素雞</t>
  </si>
  <si>
    <t>玉米火腿炒蛋</t>
  </si>
  <si>
    <t>水餃</t>
  </si>
  <si>
    <t>蒜味烤肉</t>
  </si>
  <si>
    <t>梅干爌肉</t>
  </si>
  <si>
    <t>蝦仁蛋炒飯</t>
  </si>
  <si>
    <t>碧玉扁蒲</t>
  </si>
  <si>
    <t>起司馬鈴薯</t>
  </si>
  <si>
    <t>三杯豆腐</t>
  </si>
  <si>
    <t>紅燒臭豆腐鴨血</t>
  </si>
  <si>
    <t>日式照燒炒麵</t>
  </si>
  <si>
    <t>照燒腿排</t>
  </si>
  <si>
    <t>蔥爆豬五花</t>
  </si>
  <si>
    <t>鐵路便當</t>
  </si>
  <si>
    <t>紅燒蘿蔔麵輪</t>
  </si>
  <si>
    <t>彩椒花椰</t>
  </si>
  <si>
    <t>五香豆干</t>
  </si>
  <si>
    <t>豚骨拉麵</t>
  </si>
  <si>
    <t>炸豬排乾拌麵</t>
  </si>
  <si>
    <t>DE</t>
    <phoneticPr fontId="1" type="noConversion"/>
  </si>
  <si>
    <t>B</t>
    <phoneticPr fontId="1" type="noConversion"/>
  </si>
  <si>
    <t>AE</t>
    <phoneticPr fontId="1" type="noConversion"/>
  </si>
  <si>
    <t>C</t>
    <phoneticPr fontId="1" type="noConversion"/>
  </si>
  <si>
    <t>EFJ</t>
    <phoneticPr fontId="1" type="noConversion"/>
  </si>
  <si>
    <t>EFH</t>
    <phoneticPr fontId="1" type="noConversion"/>
  </si>
  <si>
    <t>BEFH</t>
    <phoneticPr fontId="1" type="noConversion"/>
  </si>
  <si>
    <t>DFH</t>
    <phoneticPr fontId="1" type="noConversion"/>
  </si>
  <si>
    <t>EHJ</t>
    <phoneticPr fontId="1" type="noConversion"/>
  </si>
  <si>
    <t>FH</t>
    <phoneticPr fontId="1" type="noConversion"/>
  </si>
  <si>
    <t>DEH</t>
    <phoneticPr fontId="1" type="noConversion"/>
  </si>
  <si>
    <t>HJ</t>
    <phoneticPr fontId="1" type="noConversion"/>
  </si>
  <si>
    <t>奶香起司鍋</t>
  </si>
  <si>
    <t>重慶小麵(辣)</t>
  </si>
  <si>
    <t>麻辣臭豆腐鴨血</t>
  </si>
  <si>
    <t>高麗冬粉</t>
    <phoneticPr fontId="1" type="noConversion"/>
  </si>
  <si>
    <t>CDFH</t>
    <phoneticPr fontId="1" type="noConversion"/>
  </si>
  <si>
    <t>火腿蛋炒飯</t>
  </si>
  <si>
    <t>炒</t>
    <phoneticPr fontId="1" type="noConversion"/>
  </si>
  <si>
    <t>泰式椰汁雞</t>
  </si>
  <si>
    <t>香滷雞腿</t>
  </si>
  <si>
    <t>糖醋甜條</t>
  </si>
  <si>
    <t>紅蘿蔔炒蛋</t>
  </si>
  <si>
    <t>香菇炒豆芽</t>
  </si>
  <si>
    <t>韓式烤腿排</t>
  </si>
  <si>
    <t>蔥爆豬肉</t>
  </si>
  <si>
    <t>滷蛋肉燥飯</t>
  </si>
  <si>
    <t>蘿蔔燉肉</t>
  </si>
  <si>
    <t>燉</t>
  </si>
  <si>
    <t>煎</t>
  </si>
  <si>
    <t>薄鹽五花肉</t>
  </si>
  <si>
    <t>玉米豆腐</t>
  </si>
  <si>
    <t>小黃瓜米血糕</t>
  </si>
  <si>
    <t>豆皮白菜滷</t>
  </si>
  <si>
    <t>三色干丁</t>
  </si>
  <si>
    <t>珍菇冬瓜</t>
  </si>
  <si>
    <t>醬燒茄子</t>
  </si>
  <si>
    <t>紅燒油豆腐</t>
  </si>
  <si>
    <t>銀芽炒油片</t>
  </si>
  <si>
    <t>玉米濃湯餃</t>
  </si>
  <si>
    <t>CG</t>
    <phoneticPr fontId="1" type="noConversion"/>
  </si>
  <si>
    <t>AEJ</t>
    <phoneticPr fontId="1" type="noConversion"/>
  </si>
  <si>
    <t>DJ</t>
    <phoneticPr fontId="1" type="noConversion"/>
  </si>
  <si>
    <t>CEHJ</t>
    <phoneticPr fontId="1" type="noConversion"/>
  </si>
  <si>
    <t>DEFH</t>
    <phoneticPr fontId="1" type="noConversion"/>
  </si>
  <si>
    <t>韓式燒肉</t>
  </si>
  <si>
    <t>燒烤雞腿</t>
  </si>
  <si>
    <t>ADH</t>
    <phoneticPr fontId="1" type="noConversion"/>
  </si>
  <si>
    <t>香菇蒸蛋</t>
    <phoneticPr fontId="1" type="noConversion"/>
  </si>
  <si>
    <t>金沙豆腐</t>
  </si>
  <si>
    <t>CE</t>
  </si>
  <si>
    <t>魚丸白菜滷</t>
  </si>
  <si>
    <t>木耳筍片</t>
  </si>
  <si>
    <t>番茄炒蛋</t>
  </si>
  <si>
    <t>薑燒豬肉丼飯</t>
  </si>
  <si>
    <t>蔥油雞</t>
  </si>
  <si>
    <t>蒸</t>
  </si>
  <si>
    <t>川味辣炒豬</t>
  </si>
  <si>
    <t>照燒魚條</t>
  </si>
  <si>
    <t>蜜汁豬排</t>
  </si>
  <si>
    <t>椰香咖哩雞蓋飯</t>
  </si>
  <si>
    <t>薄皮炸棒腿</t>
  </si>
  <si>
    <t>京醬豬柳</t>
  </si>
  <si>
    <t>親子丼飯</t>
  </si>
  <si>
    <t>香菇花椰</t>
  </si>
  <si>
    <t>菠菜肉末冬粉</t>
  </si>
  <si>
    <t>菜脯炒蛋</t>
  </si>
  <si>
    <t>芹菜炒黑干絲</t>
  </si>
  <si>
    <t>辣炒黃豆芽</t>
  </si>
  <si>
    <t>毛豆南瓜</t>
  </si>
  <si>
    <t>木耳炒胡瓜</t>
  </si>
  <si>
    <t>洋蔥豆干</t>
  </si>
  <si>
    <t>皮蛋燒油腐</t>
  </si>
  <si>
    <t>海帶百頁結</t>
  </si>
  <si>
    <t>絲瓜凍豆腐</t>
  </si>
  <si>
    <t>塔香甜不辣</t>
  </si>
  <si>
    <t>元氣小火鍋</t>
  </si>
  <si>
    <t>酸辣湯餃</t>
  </si>
  <si>
    <t>泡菜燒肉拌麵</t>
  </si>
  <si>
    <t>鐵板豬肉</t>
  </si>
  <si>
    <t>BBQ烤肉</t>
  </si>
  <si>
    <t>丸片大白菜</t>
  </si>
  <si>
    <t>日式咖哩炒烏龍</t>
  </si>
  <si>
    <t>雞排麻醬麵</t>
  </si>
  <si>
    <t>EF</t>
    <phoneticPr fontId="1" type="noConversion"/>
  </si>
  <si>
    <t>EH</t>
    <phoneticPr fontId="1" type="noConversion"/>
  </si>
  <si>
    <t>BHK</t>
    <phoneticPr fontId="1" type="noConversion"/>
  </si>
  <si>
    <t>泰式雞丁</t>
  </si>
  <si>
    <t>香滷排骨</t>
  </si>
  <si>
    <t>蠔油豬柳</t>
  </si>
  <si>
    <t>卡啦雞蝦捲飯</t>
  </si>
  <si>
    <t>馬鈴薯燉肉</t>
  </si>
  <si>
    <t>泡菜豬肉</t>
  </si>
  <si>
    <t>糖醋魚排</t>
  </si>
  <si>
    <t>日式咖哩豬排飯</t>
  </si>
  <si>
    <t>春川辣炒雞</t>
  </si>
  <si>
    <t>味噌燒肉</t>
  </si>
  <si>
    <t>三色芋丁</t>
  </si>
  <si>
    <t>彩椒豆芽</t>
  </si>
  <si>
    <t>雙色花椰</t>
  </si>
  <si>
    <t>泡菜冬粉</t>
  </si>
  <si>
    <t>糖醋豆包</t>
  </si>
  <si>
    <t>番茄馬鈴薯</t>
  </si>
  <si>
    <t>紅絲四季豆</t>
  </si>
  <si>
    <t>香菇滷筍片</t>
  </si>
  <si>
    <t>針菇海帶根</t>
  </si>
  <si>
    <t>香酥豆腐</t>
  </si>
  <si>
    <t>小黃瓜炒蛋</t>
  </si>
  <si>
    <t>紅燒雙蘿</t>
  </si>
  <si>
    <t>西芹素雞</t>
  </si>
  <si>
    <t>金沙南瓜</t>
  </si>
  <si>
    <t>叉燒醬油拉麵</t>
  </si>
  <si>
    <t>滷蛋肉燥拌麵</t>
  </si>
  <si>
    <t>韓式泡菜鍋</t>
  </si>
  <si>
    <t>京醬燒肉拌麵</t>
  </si>
  <si>
    <t>紅燒牛肉麵</t>
    <phoneticPr fontId="1" type="noConversion"/>
  </si>
  <si>
    <t>奶油培根燴飯</t>
  </si>
  <si>
    <t>CEJ</t>
    <phoneticPr fontId="1" type="noConversion"/>
  </si>
  <si>
    <t>麻油香菇雞腿麵</t>
    <phoneticPr fontId="1" type="noConversion"/>
  </si>
  <si>
    <t>蜜汁烤肉</t>
  </si>
  <si>
    <t>泡菜豬肉丼飯</t>
  </si>
  <si>
    <t>白醬雞排</t>
  </si>
  <si>
    <t>印尼沙嗲肉片</t>
  </si>
  <si>
    <t>蜜汁雞腿</t>
  </si>
  <si>
    <t>照燒豬排</t>
  </si>
  <si>
    <t>糖醋里肌</t>
  </si>
  <si>
    <t>鹹酥雞丁</t>
  </si>
  <si>
    <t>韓式燉肉</t>
  </si>
  <si>
    <t>白菜炒筍絲</t>
  </si>
  <si>
    <t>西芹豆包</t>
  </si>
  <si>
    <t>小黃瓜百頁</t>
  </si>
  <si>
    <t>玉米胡瓜</t>
  </si>
  <si>
    <t>甜片炒韭黃</t>
  </si>
  <si>
    <t>毛豆干丁</t>
  </si>
  <si>
    <t>香菇花椰菜</t>
  </si>
  <si>
    <t>培根炒長豆</t>
  </si>
  <si>
    <t>魚板絲冬瓜</t>
  </si>
  <si>
    <t>洋蔥炒蛋</t>
  </si>
  <si>
    <t>家常冬粉</t>
  </si>
  <si>
    <t>醬燒油豆腐</t>
  </si>
  <si>
    <t>沙茶豬肉蛋炒飯</t>
  </si>
  <si>
    <t>沙茶豬柳</t>
  </si>
  <si>
    <t>培根什錦炒麵</t>
  </si>
  <si>
    <t>K</t>
    <phoneticPr fontId="1" type="noConversion"/>
  </si>
  <si>
    <t>CH</t>
    <phoneticPr fontId="1" type="noConversion"/>
  </si>
  <si>
    <t>J</t>
    <phoneticPr fontId="1" type="noConversion"/>
  </si>
  <si>
    <t>紅絲大黃瓜</t>
  </si>
  <si>
    <t>香菇豆芽</t>
  </si>
  <si>
    <t>滷味燙套餐</t>
    <phoneticPr fontId="1" type="noConversion"/>
  </si>
  <si>
    <t>唐揚雞咖哩飯</t>
  </si>
  <si>
    <t>四季豆炒百頁</t>
  </si>
  <si>
    <t>西芹燴花干</t>
  </si>
  <si>
    <t>三杯海帶結</t>
  </si>
  <si>
    <t>香菇蒲瓜</t>
  </si>
  <si>
    <t>白醬馬鈴薯</t>
  </si>
  <si>
    <t>茄汁豆腐</t>
  </si>
  <si>
    <t xml:space="preserve"> </t>
    <phoneticPr fontId="1" type="noConversion"/>
  </si>
  <si>
    <t>for空格</t>
    <phoneticPr fontId="1" type="noConversion"/>
  </si>
  <si>
    <t>紅燒雞丁</t>
  </si>
  <si>
    <t>高麗冬粉</t>
  </si>
  <si>
    <t>滷香雞腿</t>
  </si>
  <si>
    <t>青椒豆干</t>
  </si>
  <si>
    <t>三杯麵腸</t>
  </si>
  <si>
    <t>針菇大黃瓜</t>
  </si>
  <si>
    <t>什錦花枝羹麵線</t>
  </si>
  <si>
    <t>三杯豬肉</t>
  </si>
  <si>
    <t>鮑菇麵腸</t>
  </si>
  <si>
    <t>什錦海帶絲</t>
  </si>
  <si>
    <t>黑椒烤腿排</t>
  </si>
  <si>
    <t>肉絲蛋炒飯</t>
  </si>
  <si>
    <t>日式豬排</t>
  </si>
  <si>
    <t>蔥爆豬柳</t>
  </si>
  <si>
    <t>芹菜冬粉</t>
  </si>
  <si>
    <t>洋蔥紅絲炒蛋</t>
  </si>
  <si>
    <t>蔥燒豆腐</t>
  </si>
  <si>
    <t>茄汁洋芋</t>
  </si>
  <si>
    <t>紅蘿蔔豆包</t>
  </si>
  <si>
    <t>韭菜甜條</t>
  </si>
  <si>
    <t>玉筍青花椰</t>
  </si>
  <si>
    <t>醬燒木耳</t>
  </si>
  <si>
    <t>白蘿蔔火腿絲</t>
  </si>
  <si>
    <t>香菇大白菜</t>
  </si>
  <si>
    <t>滷海帶麵輪</t>
  </si>
  <si>
    <t>五味茄子</t>
  </si>
  <si>
    <t>泰式魚條</t>
  </si>
  <si>
    <t>壽喜燒豬肉丼</t>
  </si>
  <si>
    <t>素腰花炒蒲瓜</t>
  </si>
  <si>
    <t>塔香海茸</t>
  </si>
  <si>
    <t>南洋肉骨茶麵</t>
  </si>
  <si>
    <t>味噌燒肉烏龍麵</t>
  </si>
  <si>
    <t>韓式部隊鍋</t>
    <phoneticPr fontId="1" type="noConversion"/>
  </si>
  <si>
    <t>糖醋豬肉</t>
  </si>
  <si>
    <t>茄汁雞丁</t>
  </si>
  <si>
    <t>泰式雞排</t>
  </si>
  <si>
    <t>韓式雞丁</t>
  </si>
  <si>
    <t>沙茶豬肉</t>
  </si>
  <si>
    <t>麵筋大白菜</t>
  </si>
  <si>
    <t>小瓜炒花生</t>
  </si>
  <si>
    <t>日式照燒炒烏龍</t>
  </si>
  <si>
    <t>椒鹽雞丁</t>
  </si>
  <si>
    <t>彩椒木耳炒豆芽</t>
  </si>
  <si>
    <t>白醬雞排燴飯</t>
  </si>
  <si>
    <t>紅燒蘿蔔百頁結</t>
  </si>
  <si>
    <t>香菇冬瓜</t>
  </si>
  <si>
    <t>豆干滷海結</t>
  </si>
  <si>
    <t>脆炒馬鈴薯</t>
  </si>
  <si>
    <t>孜然烤雞腿</t>
  </si>
  <si>
    <t>卡啦雞排飯</t>
  </si>
  <si>
    <t>照燒雞排</t>
  </si>
  <si>
    <t>黑胡椒豬柳</t>
  </si>
  <si>
    <t>沙茶烤肉</t>
  </si>
  <si>
    <t>秀珍菇蒲瓜</t>
  </si>
  <si>
    <t>紅燒冬瓜百頁</t>
  </si>
  <si>
    <t>木耳烤麩</t>
  </si>
  <si>
    <t>蒜炒青花椰</t>
  </si>
  <si>
    <t>馬鈴薯雞丁</t>
  </si>
  <si>
    <t>蔥燒豆干</t>
  </si>
  <si>
    <t>蜜汁燒肉</t>
  </si>
  <si>
    <t>黑胡椒豬肉</t>
  </si>
  <si>
    <t>熱食部販售之產品食材來源皆有履歷登錄於[教育部校園食材登錄平台]，請各位同學安心食用。連大莊公司關心您</t>
    <phoneticPr fontId="1" type="noConversion"/>
  </si>
  <si>
    <t>★</t>
    <phoneticPr fontId="1" type="noConversion"/>
  </si>
  <si>
    <t>週一蔬食便當</t>
    <phoneticPr fontId="1" type="noConversion"/>
  </si>
  <si>
    <t>含6樣蔬食菜色</t>
    <phoneticPr fontId="1" type="noConversion"/>
  </si>
  <si>
    <t>沙茶雞丁</t>
  </si>
  <si>
    <t>香酥花枝排</t>
  </si>
  <si>
    <t>泰式椰汁雞蓋飯</t>
  </si>
  <si>
    <t>黑胡椒雞排</t>
  </si>
  <si>
    <t>高麗肉末冬粉</t>
  </si>
  <si>
    <t>紅絲黃豆芽</t>
  </si>
  <si>
    <t>三絲豆包</t>
  </si>
  <si>
    <t>沙茶燒肉拌麵</t>
  </si>
  <si>
    <t>EFH</t>
  </si>
  <si>
    <t>CE</t>
    <phoneticPr fontId="1" type="noConversion"/>
  </si>
  <si>
    <t>木耳炒花椰</t>
  </si>
  <si>
    <t>元氣小火鍋</t>
    <phoneticPr fontId="1" type="noConversion"/>
  </si>
  <si>
    <t>白醬培根義大利麵</t>
    <phoneticPr fontId="1" type="noConversion"/>
  </si>
  <si>
    <t>卡啦雞排飯</t>
    <phoneticPr fontId="1" type="noConversion"/>
  </si>
  <si>
    <t>滷蛋肉燥拌麵</t>
    <phoneticPr fontId="1" type="noConversion"/>
  </si>
  <si>
    <t>叉燒醬油拉麵</t>
    <phoneticPr fontId="1" type="noConversion"/>
  </si>
  <si>
    <t>炸</t>
    <phoneticPr fontId="1" type="noConversion"/>
  </si>
  <si>
    <t>火腿蛋炒飯</t>
    <phoneticPr fontId="1" type="noConversion"/>
  </si>
  <si>
    <t>南蠻雞肉丼</t>
    <phoneticPr fontId="1" type="noConversion"/>
  </si>
  <si>
    <t>燴</t>
    <phoneticPr fontId="1" type="noConversion"/>
  </si>
  <si>
    <t>BBQ烤肉</t>
    <phoneticPr fontId="1" type="noConversion"/>
  </si>
  <si>
    <t>鐵路便當</t>
    <phoneticPr fontId="1" type="noConversion"/>
  </si>
  <si>
    <t>滷</t>
    <phoneticPr fontId="1" type="noConversion"/>
  </si>
  <si>
    <t>椒鹽雞丁</t>
    <phoneticPr fontId="1" type="noConversion"/>
  </si>
  <si>
    <t>糖醋里肌</t>
    <phoneticPr fontId="1" type="noConversion"/>
  </si>
  <si>
    <t>三色干絲</t>
    <phoneticPr fontId="1" type="noConversion"/>
  </si>
  <si>
    <t>玉米豆腐</t>
    <phoneticPr fontId="1" type="noConversion"/>
  </si>
  <si>
    <t>泡菜冬粉</t>
    <phoneticPr fontId="1" type="noConversion"/>
  </si>
  <si>
    <t>韭菜豆芽</t>
  </si>
  <si>
    <t>韭菜豆芽</t>
    <phoneticPr fontId="1" type="noConversion"/>
  </si>
  <si>
    <t>玉筍花椰</t>
    <phoneticPr fontId="1" type="noConversion"/>
  </si>
  <si>
    <t>毛豆紅絲炒蛋</t>
  </si>
  <si>
    <t>毛豆紅絲炒蛋</t>
    <phoneticPr fontId="1" type="noConversion"/>
  </si>
  <si>
    <t>香酥雞排</t>
    <phoneticPr fontId="1" type="noConversion"/>
  </si>
  <si>
    <t>麻辣臭豆腐鴨血</t>
    <phoneticPr fontId="1" type="noConversion"/>
  </si>
  <si>
    <t>雞排乾拌麵</t>
    <phoneticPr fontId="1" type="noConversion"/>
  </si>
  <si>
    <t>季節時蔬</t>
    <phoneticPr fontId="1" type="noConversion"/>
  </si>
  <si>
    <t>香腸蛋炒飯</t>
  </si>
  <si>
    <t>香腸蛋炒飯</t>
    <phoneticPr fontId="1" type="noConversion"/>
  </si>
  <si>
    <t>紅燒牛肉燴飯</t>
    <phoneticPr fontId="1" type="noConversion"/>
  </si>
  <si>
    <t>三杯雞丁</t>
    <phoneticPr fontId="1" type="noConversion"/>
  </si>
  <si>
    <t>燒烤腿排</t>
    <phoneticPr fontId="1" type="noConversion"/>
  </si>
  <si>
    <t>烤</t>
    <phoneticPr fontId="1" type="noConversion"/>
  </si>
  <si>
    <t>滷香排骨</t>
    <phoneticPr fontId="1" type="noConversion"/>
  </si>
  <si>
    <t>黑胡椒豬肉</t>
    <phoneticPr fontId="1" type="noConversion"/>
  </si>
  <si>
    <t>塔香海帶根</t>
  </si>
  <si>
    <t>塔香海帶根</t>
    <phoneticPr fontId="1" type="noConversion"/>
  </si>
  <si>
    <t>小黃瓜素雞</t>
    <phoneticPr fontId="1" type="noConversion"/>
  </si>
  <si>
    <t>咖哩洋芋</t>
    <phoneticPr fontId="1" type="noConversion"/>
  </si>
  <si>
    <t>香菇四季豆</t>
    <phoneticPr fontId="1" type="noConversion"/>
  </si>
  <si>
    <t>FH</t>
  </si>
  <si>
    <t>泡菜燒肉拌麵</t>
    <phoneticPr fontId="1" type="noConversion"/>
  </si>
  <si>
    <t>白油炒手麵</t>
    <phoneticPr fontId="1" type="noConversion"/>
  </si>
  <si>
    <t>玉米濃湯餃</t>
    <phoneticPr fontId="1" type="noConversion"/>
  </si>
  <si>
    <t>滷香排骨</t>
  </si>
  <si>
    <t>紅燒牛肉燴飯</t>
  </si>
  <si>
    <t>燒烤腿排</t>
  </si>
  <si>
    <r>
      <t>預購便當請確實填寫</t>
    </r>
    <r>
      <rPr>
        <b/>
        <sz val="16"/>
        <color theme="1"/>
        <rFont val="微軟正黑體"/>
        <family val="2"/>
        <charset val="136"/>
      </rPr>
      <t>班級、數量、金額</t>
    </r>
    <r>
      <rPr>
        <sz val="16"/>
        <color theme="1"/>
        <rFont val="微軟正黑體"/>
        <family val="2"/>
        <charset val="136"/>
      </rPr>
      <t>，收齊費用交至熱食部統計辦理。最後收單期限為11/14</t>
    </r>
    <r>
      <rPr>
        <b/>
        <sz val="16"/>
        <color theme="1"/>
        <rFont val="微軟正黑體"/>
        <family val="2"/>
        <charset val="136"/>
      </rPr>
      <t>(五)中午12:30</t>
    </r>
    <r>
      <rPr>
        <sz val="16"/>
        <color theme="1"/>
        <rFont val="微軟正黑體"/>
        <family val="2"/>
        <charset val="136"/>
      </rPr>
      <t>，請務必將費用收齊辦理，逾時恕不受理。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</si>
</sst>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[Red]\(&quot;$&quot;#,##0\)"/>
    <numFmt numFmtId="177" formatCode="m&quot;月&quot;d&quot;日&quot;;@"/>
    <numFmt numFmtId="178" formatCode="[$-404]aaaa;@"/>
    <numFmt numFmtId="179" formatCode="&quot;$&quot;#,##0"/>
    <numFmt numFmtId="180" formatCode="m&quot;月&quot;d&quot;日&quot;"/>
    <numFmt numFmtId="181" formatCode="0.00_);[Red]\(0.00\)"/>
    <numFmt numFmtId="182" formatCode="0_);[Red]\(0\)"/>
    <numFmt numFmtId="183" formatCode="0;0;"/>
  </numFmts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3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15"/>
      <name val="微軟正黑體"/>
      <family val="2"/>
      <charset val="136"/>
    </font>
    <font>
      <b/>
      <sz val="36"/>
      <name val="微軟正黑體"/>
      <family val="2"/>
      <charset val="136"/>
    </font>
    <font>
      <b/>
      <sz val="20"/>
      <name val="華康華綜體W5"/>
      <family val="3"/>
      <charset val="136"/>
    </font>
    <font>
      <sz val="20"/>
      <name val="華康華綜體W5"/>
      <family val="3"/>
      <charset val="136"/>
    </font>
    <font>
      <b/>
      <sz val="20"/>
      <name val="微軟正黑體"/>
      <family val="2"/>
      <charset val="136"/>
    </font>
    <font>
      <b/>
      <sz val="13"/>
      <name val="華康華綜體W5"/>
      <family val="3"/>
      <charset val="136"/>
    </font>
    <font>
      <sz val="14"/>
      <color theme="1"/>
      <name val="華康中特圓體"/>
      <family val="3"/>
      <charset val="136"/>
    </font>
    <font>
      <b/>
      <sz val="13"/>
      <color theme="1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3"/>
      <name val="微軟正黑體 Light"/>
      <family val="2"/>
      <charset val="136"/>
    </font>
    <font>
      <b/>
      <sz val="1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48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5"/>
      <color theme="1"/>
      <name val="微軟正黑體 Light"/>
      <family val="2"/>
      <charset val="136"/>
    </font>
    <font>
      <b/>
      <sz val="28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26"/>
      <name val="微軟正黑體"/>
      <family val="2"/>
      <charset val="136"/>
    </font>
    <font>
      <sz val="26"/>
      <color theme="1"/>
      <name val="新細明體"/>
      <family val="2"/>
      <charset val="136"/>
      <scheme val="minor"/>
    </font>
    <font>
      <b/>
      <sz val="14"/>
      <name val="微軟正黑體"/>
      <family val="2"/>
      <charset val="136"/>
    </font>
    <font>
      <b/>
      <sz val="13"/>
      <color theme="1"/>
      <name val="華康華綜體W5"/>
      <family val="3"/>
      <charset val="136"/>
    </font>
    <font>
      <b/>
      <sz val="18"/>
      <color theme="1"/>
      <name val="微軟正黑體"/>
      <family val="2"/>
      <charset val="136"/>
    </font>
    <font>
      <b/>
      <sz val="13"/>
      <color theme="1"/>
      <name val="微軟正黑體 Light"/>
      <family val="2"/>
      <charset val="136"/>
    </font>
    <font>
      <sz val="16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6" fillId="0" borderId="9" xfId="1" applyFont="1" applyBorder="1" applyAlignment="1">
      <alignment vertical="center" shrinkToFit="1"/>
    </xf>
    <xf numFmtId="0" fontId="6" fillId="0" borderId="10" xfId="1" applyFont="1" applyBorder="1" applyAlignment="1">
      <alignment vertical="center" shrinkToFit="1"/>
    </xf>
    <xf numFmtId="0" fontId="6" fillId="0" borderId="0" xfId="1" applyFont="1" applyAlignment="1">
      <alignment vertical="center" shrinkToFit="1"/>
    </xf>
    <xf numFmtId="0" fontId="6" fillId="2" borderId="19" xfId="1" applyFont="1" applyFill="1" applyBorder="1" applyAlignment="1">
      <alignment horizontal="center" vertical="center" shrinkToFit="1"/>
    </xf>
    <xf numFmtId="0" fontId="6" fillId="2" borderId="9" xfId="1" applyFont="1" applyFill="1" applyBorder="1" applyAlignment="1">
      <alignment vertical="center" shrinkToFit="1"/>
    </xf>
    <xf numFmtId="179" fontId="6" fillId="2" borderId="9" xfId="1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shrinkToFit="1"/>
    </xf>
    <xf numFmtId="0" fontId="14" fillId="0" borderId="0" xfId="0" applyFont="1">
      <alignment vertical="center"/>
    </xf>
    <xf numFmtId="176" fontId="15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vertical="center" wrapText="1" shrinkToFit="1"/>
    </xf>
    <xf numFmtId="176" fontId="16" fillId="0" borderId="0" xfId="0" applyNumberFormat="1" applyFont="1" applyAlignment="1">
      <alignment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15" fillId="0" borderId="8" xfId="0" applyNumberFormat="1" applyFont="1" applyBorder="1" applyAlignment="1">
      <alignment horizontal="center" vertical="center" shrinkToFit="1"/>
    </xf>
    <xf numFmtId="0" fontId="15" fillId="0" borderId="4" xfId="0" applyFont="1" applyBorder="1" applyAlignment="1">
      <alignment vertical="center" wrapText="1" shrinkToFit="1"/>
    </xf>
    <xf numFmtId="0" fontId="15" fillId="0" borderId="6" xfId="0" applyFont="1" applyBorder="1" applyAlignment="1">
      <alignment vertical="center" wrapText="1" shrinkToFit="1"/>
    </xf>
    <xf numFmtId="0" fontId="15" fillId="0" borderId="8" xfId="0" applyFont="1" applyBorder="1" applyAlignment="1">
      <alignment vertical="center" wrapText="1" shrinkToFit="1"/>
    </xf>
    <xf numFmtId="0" fontId="19" fillId="0" borderId="0" xfId="0" applyFont="1" applyAlignment="1">
      <alignment horizontal="center" vertical="center" wrapText="1" shrinkToFit="1"/>
    </xf>
    <xf numFmtId="0" fontId="21" fillId="4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 shrinkToFit="1"/>
    </xf>
    <xf numFmtId="0" fontId="0" fillId="0" borderId="0" xfId="0" applyAlignment="1"/>
    <xf numFmtId="14" fontId="0" fillId="0" borderId="0" xfId="0" applyNumberFormat="1" applyAlignment="1"/>
    <xf numFmtId="0" fontId="5" fillId="0" borderId="5" xfId="0" applyFont="1" applyBorder="1" applyAlignment="1">
      <alignment horizontal="center" vertical="center" shrinkToFit="1"/>
    </xf>
    <xf numFmtId="176" fontId="15" fillId="0" borderId="2" xfId="0" applyNumberFormat="1" applyFont="1" applyBorder="1" applyAlignment="1">
      <alignment horizontal="center" vertical="center" shrinkToFit="1"/>
    </xf>
    <xf numFmtId="176" fontId="15" fillId="0" borderId="7" xfId="0" applyNumberFormat="1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shrinkToFit="1"/>
    </xf>
    <xf numFmtId="176" fontId="17" fillId="0" borderId="0" xfId="0" applyNumberFormat="1" applyFont="1" applyAlignment="1">
      <alignment horizontal="left" vertical="center" wrapText="1" shrinkToFit="1"/>
    </xf>
    <xf numFmtId="176" fontId="16" fillId="0" borderId="14" xfId="0" applyNumberFormat="1" applyFont="1" applyBorder="1" applyAlignment="1">
      <alignment vertical="center" shrinkToFit="1"/>
    </xf>
    <xf numFmtId="176" fontId="16" fillId="0" borderId="15" xfId="0" applyNumberFormat="1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7" xfId="0" applyFont="1" applyBorder="1" applyAlignment="1">
      <alignment vertical="center" wrapText="1" shrinkToFit="1"/>
    </xf>
    <xf numFmtId="0" fontId="13" fillId="0" borderId="5" xfId="0" applyFont="1" applyBorder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wrapText="1" shrinkToFit="1"/>
    </xf>
    <xf numFmtId="0" fontId="13" fillId="3" borderId="7" xfId="0" applyFont="1" applyFill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 shrinkToFit="1"/>
    </xf>
    <xf numFmtId="0" fontId="15" fillId="0" borderId="20" xfId="0" applyFont="1" applyBorder="1" applyAlignment="1">
      <alignment horizontal="center" vertical="center"/>
    </xf>
    <xf numFmtId="0" fontId="27" fillId="0" borderId="32" xfId="0" applyFont="1" applyBorder="1" applyAlignment="1">
      <alignment horizontal="distributed" vertical="distributed" wrapText="1" shrinkToFit="1"/>
    </xf>
    <xf numFmtId="176" fontId="15" fillId="0" borderId="32" xfId="0" applyNumberFormat="1" applyFont="1" applyBorder="1" applyAlignment="1">
      <alignment horizontal="center" vertical="center" shrinkToFit="1"/>
    </xf>
    <xf numFmtId="176" fontId="15" fillId="0" borderId="33" xfId="0" applyNumberFormat="1" applyFont="1" applyBorder="1" applyAlignment="1">
      <alignment horizontal="center" vertical="center" shrinkToFit="1"/>
    </xf>
    <xf numFmtId="176" fontId="15" fillId="0" borderId="36" xfId="0" applyNumberFormat="1" applyFont="1" applyBorder="1" applyAlignment="1">
      <alignment horizontal="center" vertical="center" shrinkToFit="1"/>
    </xf>
    <xf numFmtId="176" fontId="15" fillId="0" borderId="31" xfId="0" applyNumberFormat="1" applyFont="1" applyBorder="1" applyAlignment="1">
      <alignment horizontal="center" vertical="center" shrinkToFit="1"/>
    </xf>
    <xf numFmtId="176" fontId="15" fillId="0" borderId="40" xfId="0" applyNumberFormat="1" applyFont="1" applyBorder="1" applyAlignment="1">
      <alignment horizontal="center" vertical="center" shrinkToFit="1"/>
    </xf>
    <xf numFmtId="176" fontId="15" fillId="0" borderId="41" xfId="0" applyNumberFormat="1" applyFont="1" applyBorder="1" applyAlignment="1">
      <alignment horizontal="center" vertical="center" shrinkToFit="1"/>
    </xf>
    <xf numFmtId="0" fontId="15" fillId="0" borderId="42" xfId="0" applyFont="1" applyBorder="1" applyAlignment="1">
      <alignment vertical="center" wrapText="1" shrinkToFit="1"/>
    </xf>
    <xf numFmtId="0" fontId="27" fillId="0" borderId="43" xfId="0" applyFont="1" applyBorder="1" applyAlignment="1">
      <alignment horizontal="distributed" vertical="distributed" wrapText="1" shrinkToFit="1"/>
    </xf>
    <xf numFmtId="0" fontId="15" fillId="0" borderId="43" xfId="0" applyFont="1" applyBorder="1" applyAlignment="1">
      <alignment vertical="center" wrapText="1" shrinkToFit="1"/>
    </xf>
    <xf numFmtId="0" fontId="15" fillId="0" borderId="34" xfId="0" applyFont="1" applyBorder="1" applyAlignment="1">
      <alignment vertical="center" wrapText="1" shrinkToFit="1"/>
    </xf>
    <xf numFmtId="0" fontId="15" fillId="0" borderId="32" xfId="0" applyFont="1" applyBorder="1" applyAlignment="1">
      <alignment vertical="center" wrapText="1" shrinkToFit="1"/>
    </xf>
    <xf numFmtId="176" fontId="15" fillId="0" borderId="44" xfId="0" applyNumberFormat="1" applyFont="1" applyBorder="1" applyAlignment="1">
      <alignment horizontal="center" vertical="center" shrinkToFit="1"/>
    </xf>
    <xf numFmtId="176" fontId="28" fillId="0" borderId="36" xfId="0" applyNumberFormat="1" applyFont="1" applyBorder="1" applyAlignment="1">
      <alignment horizontal="center" vertical="center" shrinkToFit="1"/>
    </xf>
    <xf numFmtId="176" fontId="28" fillId="0" borderId="32" xfId="0" applyNumberFormat="1" applyFont="1" applyBorder="1" applyAlignment="1">
      <alignment horizontal="center" vertical="center" shrinkToFit="1"/>
    </xf>
    <xf numFmtId="176" fontId="28" fillId="0" borderId="7" xfId="0" applyNumberFormat="1" applyFont="1" applyBorder="1" applyAlignment="1">
      <alignment horizontal="center" vertical="center" shrinkToFit="1"/>
    </xf>
    <xf numFmtId="176" fontId="28" fillId="0" borderId="40" xfId="0" applyNumberFormat="1" applyFont="1" applyBorder="1" applyAlignment="1">
      <alignment horizontal="center" vertical="center" shrinkToFit="1"/>
    </xf>
    <xf numFmtId="176" fontId="28" fillId="0" borderId="31" xfId="0" applyNumberFormat="1" applyFont="1" applyBorder="1" applyAlignment="1">
      <alignment horizontal="center" vertical="center" shrinkToFit="1"/>
    </xf>
    <xf numFmtId="176" fontId="22" fillId="0" borderId="30" xfId="0" applyNumberFormat="1" applyFont="1" applyBorder="1" applyAlignment="1">
      <alignment horizontal="center" vertical="center" wrapText="1" shrinkToFit="1"/>
    </xf>
    <xf numFmtId="0" fontId="29" fillId="0" borderId="32" xfId="0" applyFont="1" applyBorder="1" applyAlignment="1">
      <alignment horizontal="distributed" vertical="distributed" wrapText="1" shrinkToFit="1"/>
    </xf>
    <xf numFmtId="181" fontId="6" fillId="0" borderId="0" xfId="0" applyNumberFormat="1" applyFont="1" applyAlignment="1">
      <alignment vertical="center" wrapText="1" shrinkToFit="1"/>
    </xf>
    <xf numFmtId="181" fontId="24" fillId="0" borderId="45" xfId="0" applyNumberFormat="1" applyFont="1" applyBorder="1" applyAlignment="1">
      <alignment horizontal="center" vertical="center" wrapText="1" shrinkToFit="1"/>
    </xf>
    <xf numFmtId="181" fontId="15" fillId="0" borderId="43" xfId="0" applyNumberFormat="1" applyFont="1" applyBorder="1" applyAlignment="1">
      <alignment vertical="center" wrapText="1" shrinkToFit="1"/>
    </xf>
    <xf numFmtId="181" fontId="15" fillId="0" borderId="32" xfId="0" applyNumberFormat="1" applyFont="1" applyBorder="1" applyAlignment="1">
      <alignment vertical="center" wrapText="1" shrinkToFit="1"/>
    </xf>
    <xf numFmtId="181" fontId="15" fillId="0" borderId="7" xfId="0" applyNumberFormat="1" applyFont="1" applyBorder="1" applyAlignment="1">
      <alignment vertical="center" wrapText="1" shrinkToFit="1"/>
    </xf>
    <xf numFmtId="181" fontId="15" fillId="0" borderId="0" xfId="0" applyNumberFormat="1" applyFont="1" applyAlignment="1">
      <alignment vertical="center" wrapText="1" shrinkToFit="1"/>
    </xf>
    <xf numFmtId="181" fontId="15" fillId="0" borderId="0" xfId="0" applyNumberFormat="1" applyFont="1" applyAlignment="1">
      <alignment horizontal="center" vertical="center" shrinkToFit="1"/>
    </xf>
    <xf numFmtId="181" fontId="12" fillId="0" borderId="0" xfId="0" applyNumberFormat="1" applyFont="1" applyAlignment="1">
      <alignment horizontal="center" vertical="center" shrinkToFit="1"/>
    </xf>
    <xf numFmtId="181" fontId="9" fillId="0" borderId="0" xfId="0" applyNumberFormat="1" applyFont="1" applyAlignment="1">
      <alignment horizontal="center" vertical="center" shrinkToFit="1"/>
    </xf>
    <xf numFmtId="182" fontId="15" fillId="0" borderId="36" xfId="0" applyNumberFormat="1" applyFont="1" applyBorder="1" applyAlignment="1">
      <alignment horizontal="center" vertical="center" shrinkToFit="1"/>
    </xf>
    <xf numFmtId="182" fontId="15" fillId="0" borderId="32" xfId="0" applyNumberFormat="1" applyFont="1" applyBorder="1" applyAlignment="1">
      <alignment horizontal="center" vertical="center" shrinkToFit="1"/>
    </xf>
    <xf numFmtId="182" fontId="15" fillId="0" borderId="7" xfId="0" applyNumberFormat="1" applyFont="1" applyBorder="1" applyAlignment="1">
      <alignment horizontal="center" vertical="center" shrinkToFit="1"/>
    </xf>
    <xf numFmtId="182" fontId="15" fillId="0" borderId="40" xfId="0" applyNumberFormat="1" applyFont="1" applyBorder="1" applyAlignment="1">
      <alignment horizontal="center" vertical="center" shrinkToFit="1"/>
    </xf>
    <xf numFmtId="182" fontId="15" fillId="0" borderId="31" xfId="0" applyNumberFormat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17" xfId="1" applyFont="1" applyBorder="1" applyAlignment="1">
      <alignment horizontal="center" vertical="center" shrinkToFit="1"/>
    </xf>
    <xf numFmtId="0" fontId="8" fillId="0" borderId="18" xfId="1" applyFont="1" applyBorder="1" applyAlignment="1">
      <alignment horizontal="center" vertical="center" shrinkToFit="1"/>
    </xf>
    <xf numFmtId="179" fontId="6" fillId="2" borderId="9" xfId="1" applyNumberFormat="1" applyFont="1" applyFill="1" applyBorder="1" applyAlignment="1">
      <alignment vertical="center" shrinkToFit="1"/>
    </xf>
    <xf numFmtId="0" fontId="8" fillId="0" borderId="46" xfId="1" applyFont="1" applyBorder="1" applyAlignment="1">
      <alignment horizontal="left" vertical="center" shrinkToFit="1"/>
    </xf>
    <xf numFmtId="0" fontId="8" fillId="0" borderId="47" xfId="1" applyFont="1" applyBorder="1" applyAlignment="1">
      <alignment horizontal="center" vertical="center" shrinkToFit="1"/>
    </xf>
    <xf numFmtId="0" fontId="8" fillId="0" borderId="48" xfId="1" applyFont="1" applyBorder="1" applyAlignment="1">
      <alignment horizontal="center" vertical="center" shrinkToFit="1"/>
    </xf>
    <xf numFmtId="0" fontId="35" fillId="0" borderId="35" xfId="0" applyFont="1" applyBorder="1" applyAlignment="1">
      <alignment horizontal="center" vertical="center" shrinkToFit="1"/>
    </xf>
    <xf numFmtId="0" fontId="35" fillId="0" borderId="34" xfId="0" applyFont="1" applyBorder="1" applyAlignment="1">
      <alignment horizontal="center" vertical="center" shrinkToFit="1"/>
    </xf>
    <xf numFmtId="0" fontId="36" fillId="0" borderId="32" xfId="0" applyFont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 shrinkToFit="1"/>
    </xf>
    <xf numFmtId="0" fontId="36" fillId="0" borderId="7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176" fontId="27" fillId="2" borderId="7" xfId="0" applyNumberFormat="1" applyFont="1" applyFill="1" applyBorder="1" applyAlignment="1">
      <alignment horizontal="distributed" vertical="distributed" shrinkToFit="1"/>
    </xf>
    <xf numFmtId="0" fontId="15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15" fillId="0" borderId="0" xfId="0" applyFont="1">
      <alignment vertical="center"/>
    </xf>
    <xf numFmtId="181" fontId="15" fillId="0" borderId="0" xfId="0" applyNumberFormat="1" applyFont="1">
      <alignment vertical="center"/>
    </xf>
    <xf numFmtId="0" fontId="35" fillId="0" borderId="39" xfId="0" applyFont="1" applyBorder="1" applyAlignment="1">
      <alignment horizontal="center" vertical="center" shrinkToFit="1"/>
    </xf>
    <xf numFmtId="0" fontId="36" fillId="0" borderId="40" xfId="0" applyFont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vertical="center" shrinkToFit="1"/>
    </xf>
    <xf numFmtId="179" fontId="6" fillId="2" borderId="0" xfId="1" applyNumberFormat="1" applyFont="1" applyFill="1" applyAlignment="1">
      <alignment horizontal="center" vertical="center" shrinkToFit="1"/>
    </xf>
    <xf numFmtId="0" fontId="6" fillId="0" borderId="4" xfId="1" applyFont="1" applyBorder="1" applyAlignment="1">
      <alignment vertical="center" shrinkToFit="1"/>
    </xf>
    <xf numFmtId="183" fontId="15" fillId="0" borderId="33" xfId="0" applyNumberFormat="1" applyFont="1" applyBorder="1" applyAlignment="1">
      <alignment horizontal="center" vertical="center" shrinkToFit="1"/>
    </xf>
    <xf numFmtId="183" fontId="15" fillId="0" borderId="37" xfId="0" applyNumberFormat="1" applyFont="1" applyBorder="1" applyAlignment="1">
      <alignment horizontal="center" vertical="center" shrinkToFit="1"/>
    </xf>
    <xf numFmtId="183" fontId="15" fillId="0" borderId="8" xfId="0" applyNumberFormat="1" applyFont="1" applyBorder="1" applyAlignment="1">
      <alignment horizontal="center" vertical="center" shrinkToFit="1"/>
    </xf>
    <xf numFmtId="177" fontId="15" fillId="0" borderId="22" xfId="2" applyNumberFormat="1" applyFont="1" applyBorder="1" applyAlignment="1">
      <alignment vertical="center"/>
    </xf>
    <xf numFmtId="177" fontId="15" fillId="0" borderId="23" xfId="2" applyNumberFormat="1" applyFont="1" applyBorder="1" applyAlignment="1">
      <alignment vertical="center"/>
    </xf>
    <xf numFmtId="177" fontId="15" fillId="0" borderId="24" xfId="2" applyNumberFormat="1" applyFont="1" applyBorder="1" applyAlignment="1">
      <alignment vertical="center"/>
    </xf>
    <xf numFmtId="0" fontId="36" fillId="7" borderId="32" xfId="0" applyFont="1" applyFill="1" applyBorder="1" applyAlignment="1">
      <alignment horizontal="center" vertical="center" shrinkToFit="1"/>
    </xf>
    <xf numFmtId="0" fontId="36" fillId="7" borderId="7" xfId="0" applyFont="1" applyFill="1" applyBorder="1" applyAlignment="1">
      <alignment horizontal="center" vertical="center" shrinkToFit="1"/>
    </xf>
    <xf numFmtId="0" fontId="36" fillId="7" borderId="36" xfId="0" applyFont="1" applyFill="1" applyBorder="1" applyAlignment="1">
      <alignment horizontal="center" vertical="center" shrinkToFit="1"/>
    </xf>
    <xf numFmtId="0" fontId="36" fillId="7" borderId="31" xfId="0" applyFont="1" applyFill="1" applyBorder="1" applyAlignment="1">
      <alignment horizontal="center" vertical="center" shrinkToFit="1"/>
    </xf>
    <xf numFmtId="182" fontId="15" fillId="0" borderId="0" xfId="0" applyNumberFormat="1" applyFont="1" applyAlignment="1">
      <alignment horizontal="center" vertical="center" shrinkToFit="1"/>
    </xf>
    <xf numFmtId="0" fontId="36" fillId="0" borderId="31" xfId="0" applyFont="1" applyBorder="1" applyAlignment="1">
      <alignment horizontal="center" vertical="center" shrinkToFit="1"/>
    </xf>
    <xf numFmtId="0" fontId="36" fillId="2" borderId="32" xfId="0" applyFont="1" applyFill="1" applyBorder="1" applyAlignment="1">
      <alignment horizontal="center" vertical="center" shrinkToFit="1"/>
    </xf>
    <xf numFmtId="0" fontId="36" fillId="2" borderId="40" xfId="0" applyFont="1" applyFill="1" applyBorder="1" applyAlignment="1">
      <alignment horizontal="center" vertical="center" shrinkToFit="1"/>
    </xf>
    <xf numFmtId="0" fontId="15" fillId="0" borderId="41" xfId="0" applyNumberFormat="1" applyFont="1" applyBorder="1" applyAlignment="1">
      <alignment horizontal="center" vertical="center" shrinkToFit="1"/>
    </xf>
    <xf numFmtId="0" fontId="0" fillId="6" borderId="0" xfId="0" applyFill="1">
      <alignment vertical="center"/>
    </xf>
    <xf numFmtId="0" fontId="36" fillId="2" borderId="7" xfId="0" applyFont="1" applyFill="1" applyBorder="1" applyAlignment="1">
      <alignment horizontal="center" vertical="center" shrinkToFit="1"/>
    </xf>
    <xf numFmtId="0" fontId="36" fillId="2" borderId="31" xfId="0" applyFont="1" applyFill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36" fillId="2" borderId="14" xfId="0" applyFont="1" applyFill="1" applyBorder="1" applyAlignment="1">
      <alignment horizontal="center" vertical="center" shrinkToFit="1"/>
    </xf>
    <xf numFmtId="176" fontId="28" fillId="0" borderId="14" xfId="0" applyNumberFormat="1" applyFont="1" applyBorder="1" applyAlignment="1">
      <alignment horizontal="center" vertical="center" shrinkToFit="1"/>
    </xf>
    <xf numFmtId="0" fontId="35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vertical="center" wrapText="1"/>
    </xf>
    <xf numFmtId="176" fontId="15" fillId="0" borderId="14" xfId="0" applyNumberFormat="1" applyFont="1" applyBorder="1" applyAlignment="1">
      <alignment horizontal="center" vertical="center" shrinkToFit="1"/>
    </xf>
    <xf numFmtId="181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14" fillId="0" borderId="14" xfId="0" applyFont="1" applyBorder="1">
      <alignment vertical="center"/>
    </xf>
    <xf numFmtId="0" fontId="30" fillId="0" borderId="13" xfId="1" applyFont="1" applyBorder="1" applyAlignment="1">
      <alignment horizontal="center" vertical="center" shrinkToFit="1"/>
    </xf>
    <xf numFmtId="0" fontId="30" fillId="0" borderId="14" xfId="1" applyFont="1" applyBorder="1" applyAlignment="1">
      <alignment horizontal="center" vertical="center" shrinkToFit="1"/>
    </xf>
    <xf numFmtId="0" fontId="30" fillId="0" borderId="15" xfId="1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8" fillId="0" borderId="15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center" vertical="center" shrinkToFit="1"/>
    </xf>
    <xf numFmtId="0" fontId="34" fillId="0" borderId="13" xfId="1" applyFont="1" applyBorder="1" applyAlignment="1">
      <alignment horizontal="left" vertical="center" wrapText="1" shrinkToFit="1"/>
    </xf>
    <xf numFmtId="0" fontId="34" fillId="0" borderId="14" xfId="1" applyFont="1" applyBorder="1" applyAlignment="1">
      <alignment horizontal="left" vertical="center" wrapText="1" shrinkToFit="1"/>
    </xf>
    <xf numFmtId="0" fontId="34" fillId="0" borderId="15" xfId="1" applyFont="1" applyBorder="1" applyAlignment="1">
      <alignment horizontal="left" vertical="center" wrapText="1" shrinkToFit="1"/>
    </xf>
    <xf numFmtId="0" fontId="31" fillId="0" borderId="13" xfId="1" applyFont="1" applyBorder="1" applyAlignment="1">
      <alignment horizontal="left" vertical="center" wrapText="1" shrinkToFit="1"/>
    </xf>
    <xf numFmtId="0" fontId="31" fillId="0" borderId="14" xfId="1" applyFont="1" applyBorder="1" applyAlignment="1">
      <alignment horizontal="left" vertical="center" wrapText="1" shrinkToFit="1"/>
    </xf>
    <xf numFmtId="0" fontId="31" fillId="0" borderId="15" xfId="1" applyFont="1" applyBorder="1" applyAlignment="1">
      <alignment horizontal="left" vertical="center" wrapText="1" shrinkToFit="1"/>
    </xf>
    <xf numFmtId="0" fontId="32" fillId="0" borderId="13" xfId="1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30" fillId="0" borderId="1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right" vertical="center" shrinkToFit="1"/>
    </xf>
    <xf numFmtId="0" fontId="30" fillId="0" borderId="2" xfId="1" applyFont="1" applyBorder="1" applyAlignment="1">
      <alignment horizontal="right" vertical="center" shrinkToFit="1"/>
    </xf>
    <xf numFmtId="178" fontId="7" fillId="5" borderId="7" xfId="1" applyNumberFormat="1" applyFont="1" applyFill="1" applyBorder="1" applyAlignment="1">
      <alignment horizontal="right" vertical="center" shrinkToFit="1"/>
    </xf>
    <xf numFmtId="178" fontId="7" fillId="5" borderId="8" xfId="1" applyNumberFormat="1" applyFont="1" applyFill="1" applyBorder="1" applyAlignment="1">
      <alignment horizontal="right" vertical="center" shrinkToFit="1"/>
    </xf>
    <xf numFmtId="177" fontId="12" fillId="0" borderId="3" xfId="1" applyNumberFormat="1" applyFont="1" applyBorder="1" applyAlignment="1">
      <alignment vertical="center" shrinkToFit="1"/>
    </xf>
    <xf numFmtId="177" fontId="12" fillId="0" borderId="0" xfId="1" applyNumberFormat="1" applyFont="1" applyAlignment="1">
      <alignment vertical="center" shrinkToFit="1"/>
    </xf>
    <xf numFmtId="178" fontId="7" fillId="0" borderId="0" xfId="1" applyNumberFormat="1" applyFont="1" applyAlignment="1">
      <alignment horizontal="right" vertical="center" shrinkToFit="1"/>
    </xf>
    <xf numFmtId="178" fontId="7" fillId="0" borderId="4" xfId="1" applyNumberFormat="1" applyFont="1" applyBorder="1" applyAlignment="1">
      <alignment horizontal="right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177" fontId="12" fillId="5" borderId="6" xfId="1" applyNumberFormat="1" applyFont="1" applyFill="1" applyBorder="1" applyAlignment="1">
      <alignment vertical="center" shrinkToFit="1"/>
    </xf>
    <xf numFmtId="177" fontId="12" fillId="5" borderId="7" xfId="1" applyNumberFormat="1" applyFont="1" applyFill="1" applyBorder="1" applyAlignment="1">
      <alignment vertical="center" shrinkToFit="1"/>
    </xf>
    <xf numFmtId="177" fontId="12" fillId="6" borderId="3" xfId="1" applyNumberFormat="1" applyFont="1" applyFill="1" applyBorder="1" applyAlignment="1">
      <alignment vertical="center" shrinkToFit="1"/>
    </xf>
    <xf numFmtId="177" fontId="12" fillId="6" borderId="0" xfId="1" applyNumberFormat="1" applyFont="1" applyFill="1" applyAlignment="1">
      <alignment vertical="center" shrinkToFit="1"/>
    </xf>
    <xf numFmtId="178" fontId="7" fillId="6" borderId="0" xfId="1" applyNumberFormat="1" applyFont="1" applyFill="1" applyAlignment="1">
      <alignment horizontal="right" vertical="center" shrinkToFit="1"/>
    </xf>
    <xf numFmtId="178" fontId="7" fillId="6" borderId="4" xfId="1" applyNumberFormat="1" applyFont="1" applyFill="1" applyBorder="1" applyAlignment="1">
      <alignment horizontal="right" vertical="center" shrinkToFit="1"/>
    </xf>
    <xf numFmtId="0" fontId="7" fillId="0" borderId="6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left" vertical="center" shrinkToFit="1"/>
    </xf>
    <xf numFmtId="176" fontId="26" fillId="0" borderId="0" xfId="0" applyNumberFormat="1" applyFont="1" applyAlignment="1">
      <alignment horizontal="center" vertical="center" shrinkToFit="1"/>
    </xf>
    <xf numFmtId="177" fontId="15" fillId="0" borderId="1" xfId="0" applyNumberFormat="1" applyFont="1" applyBorder="1" applyAlignment="1">
      <alignment horizontal="center" vertical="center"/>
    </xf>
    <xf numFmtId="177" fontId="15" fillId="0" borderId="5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178" fontId="15" fillId="0" borderId="8" xfId="0" applyNumberFormat="1" applyFont="1" applyBorder="1" applyAlignment="1">
      <alignment horizontal="center" vertical="center"/>
    </xf>
    <xf numFmtId="177" fontId="5" fillId="0" borderId="23" xfId="2" applyNumberFormat="1" applyFont="1" applyBorder="1" applyAlignment="1">
      <alignment horizontal="center" vertical="center"/>
    </xf>
    <xf numFmtId="177" fontId="5" fillId="0" borderId="24" xfId="2" applyNumberFormat="1" applyFont="1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8" fontId="25" fillId="0" borderId="6" xfId="0" applyNumberFormat="1" applyFont="1" applyBorder="1" applyAlignment="1">
      <alignment horizontal="center" vertical="center"/>
    </xf>
    <xf numFmtId="178" fontId="25" fillId="0" borderId="7" xfId="0" applyNumberFormat="1" applyFont="1" applyBorder="1" applyAlignment="1">
      <alignment horizontal="center" vertical="center"/>
    </xf>
    <xf numFmtId="178" fontId="25" fillId="0" borderId="8" xfId="0" applyNumberFormat="1" applyFont="1" applyBorder="1" applyAlignment="1">
      <alignment horizontal="center" vertical="center"/>
    </xf>
    <xf numFmtId="176" fontId="16" fillId="0" borderId="53" xfId="0" applyNumberFormat="1" applyFont="1" applyBorder="1" applyAlignment="1">
      <alignment horizontal="center" vertical="center" shrinkToFit="1"/>
    </xf>
    <xf numFmtId="176" fontId="16" fillId="0" borderId="54" xfId="0" applyNumberFormat="1" applyFont="1" applyBorder="1" applyAlignment="1">
      <alignment horizontal="center" vertical="center" shrinkToFit="1"/>
    </xf>
    <xf numFmtId="176" fontId="16" fillId="0" borderId="55" xfId="0" applyNumberFormat="1" applyFont="1" applyBorder="1" applyAlignment="1">
      <alignment horizontal="center" vertical="center" shrinkToFit="1"/>
    </xf>
    <xf numFmtId="176" fontId="16" fillId="0" borderId="49" xfId="0" applyNumberFormat="1" applyFont="1" applyBorder="1" applyAlignment="1">
      <alignment horizontal="center" vertical="center" wrapText="1" shrinkToFit="1"/>
    </xf>
    <xf numFmtId="176" fontId="16" fillId="0" borderId="12" xfId="0" applyNumberFormat="1" applyFont="1" applyBorder="1" applyAlignment="1">
      <alignment horizontal="center" vertical="center" shrinkToFit="1"/>
    </xf>
    <xf numFmtId="176" fontId="16" fillId="0" borderId="50" xfId="0" applyNumberFormat="1" applyFont="1" applyBorder="1" applyAlignment="1">
      <alignment horizontal="center" vertical="center" shrinkToFit="1"/>
    </xf>
    <xf numFmtId="176" fontId="6" fillId="0" borderId="13" xfId="0" applyNumberFormat="1" applyFont="1" applyBorder="1" applyAlignment="1">
      <alignment horizontal="center" vertical="center" wrapText="1" shrinkToFit="1"/>
    </xf>
    <xf numFmtId="176" fontId="6" fillId="0" borderId="14" xfId="0" applyNumberFormat="1" applyFont="1" applyBorder="1" applyAlignment="1">
      <alignment horizontal="center" vertical="center" wrapText="1" shrinkToFit="1"/>
    </xf>
    <xf numFmtId="176" fontId="6" fillId="0" borderId="15" xfId="0" applyNumberFormat="1" applyFont="1" applyBorder="1" applyAlignment="1">
      <alignment horizontal="center" vertical="center" wrapText="1" shrinkToFit="1"/>
    </xf>
    <xf numFmtId="176" fontId="16" fillId="0" borderId="29" xfId="0" applyNumberFormat="1" applyFont="1" applyBorder="1" applyAlignment="1">
      <alignment horizontal="center" vertical="center" shrinkToFit="1"/>
    </xf>
    <xf numFmtId="176" fontId="16" fillId="0" borderId="51" xfId="0" applyNumberFormat="1" applyFont="1" applyBorder="1" applyAlignment="1">
      <alignment horizontal="center" vertical="center" shrinkToFit="1"/>
    </xf>
    <xf numFmtId="176" fontId="16" fillId="0" borderId="52" xfId="0" applyNumberFormat="1" applyFont="1" applyBorder="1" applyAlignment="1">
      <alignment horizontal="center" vertical="center" shrinkToFit="1"/>
    </xf>
    <xf numFmtId="176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20" fillId="4" borderId="2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180" fontId="21" fillId="2" borderId="26" xfId="0" applyNumberFormat="1" applyFont="1" applyFill="1" applyBorder="1" applyAlignment="1">
      <alignment horizontal="center" vertical="center"/>
    </xf>
    <xf numFmtId="180" fontId="21" fillId="2" borderId="27" xfId="0" applyNumberFormat="1" applyFont="1" applyFill="1" applyBorder="1" applyAlignment="1">
      <alignment horizontal="center" vertical="center"/>
    </xf>
    <xf numFmtId="180" fontId="21" fillId="4" borderId="26" xfId="0" applyNumberFormat="1" applyFont="1" applyFill="1" applyBorder="1" applyAlignment="1">
      <alignment horizontal="center" vertical="center"/>
    </xf>
    <xf numFmtId="180" fontId="21" fillId="4" borderId="27" xfId="0" applyNumberFormat="1" applyFont="1" applyFill="1" applyBorder="1" applyAlignment="1">
      <alignment horizontal="center" vertical="center"/>
    </xf>
    <xf numFmtId="178" fontId="21" fillId="2" borderId="26" xfId="0" applyNumberFormat="1" applyFont="1" applyFill="1" applyBorder="1" applyAlignment="1">
      <alignment horizontal="center" vertical="center"/>
    </xf>
    <xf numFmtId="178" fontId="21" fillId="2" borderId="27" xfId="0" applyNumberFormat="1" applyFont="1" applyFill="1" applyBorder="1" applyAlignment="1">
      <alignment horizontal="center" vertical="center"/>
    </xf>
    <xf numFmtId="178" fontId="21" fillId="4" borderId="26" xfId="0" applyNumberFormat="1" applyFont="1" applyFill="1" applyBorder="1" applyAlignment="1">
      <alignment horizontal="center" vertical="center"/>
    </xf>
    <xf numFmtId="178" fontId="21" fillId="4" borderId="27" xfId="0" applyNumberFormat="1" applyFont="1" applyFill="1" applyBorder="1" applyAlignment="1">
      <alignment horizontal="center" vertical="center"/>
    </xf>
    <xf numFmtId="180" fontId="21" fillId="4" borderId="28" xfId="0" applyNumberFormat="1" applyFont="1" applyFill="1" applyBorder="1" applyAlignment="1">
      <alignment horizontal="center" vertical="center"/>
    </xf>
    <xf numFmtId="178" fontId="21" fillId="4" borderId="28" xfId="0" applyNumberFormat="1" applyFont="1" applyFill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百分比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260594</xdr:colOff>
      <xdr:row>0</xdr:row>
      <xdr:rowOff>142419</xdr:rowOff>
    </xdr:from>
    <xdr:to>
      <xdr:col>3</xdr:col>
      <xdr:colOff>187817</xdr:colOff>
      <xdr:row>1</xdr:row>
      <xdr:rowOff>484842</xdr:rowOff>
    </xdr:to>
    <xdr:pic>
      <xdr:nvPicPr>
        <xdr:cNvPr id="3" name="Picture 14" descr="廚師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150" y="142419"/>
          <a:ext cx="1912716" cy="10266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24314;&#20013;/113&#19978;/&#24314;&#20013;&#33756;&#21934;11308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週菜單"/>
      <sheetName val="0830"/>
      <sheetName val="預購單"/>
      <sheetName val="食登"/>
      <sheetName val="N"/>
    </sheetNames>
    <sheetDataSet>
      <sheetData sheetId="0">
        <row r="7">
          <cell r="C7">
            <v>110</v>
          </cell>
          <cell r="I7">
            <v>110</v>
          </cell>
          <cell r="O7">
            <v>110</v>
          </cell>
          <cell r="U7">
            <v>110</v>
          </cell>
          <cell r="AA7">
            <v>110</v>
          </cell>
        </row>
        <row r="8">
          <cell r="C8">
            <v>85</v>
          </cell>
          <cell r="I8">
            <v>85</v>
          </cell>
          <cell r="O8">
            <v>85</v>
          </cell>
          <cell r="U8">
            <v>85</v>
          </cell>
          <cell r="AA8">
            <v>85</v>
          </cell>
        </row>
        <row r="9">
          <cell r="C9">
            <v>85</v>
          </cell>
          <cell r="I9">
            <v>85</v>
          </cell>
          <cell r="O9">
            <v>85</v>
          </cell>
          <cell r="U9">
            <v>85</v>
          </cell>
          <cell r="AA9">
            <v>85</v>
          </cell>
        </row>
        <row r="11">
          <cell r="C11">
            <v>80</v>
          </cell>
          <cell r="O11">
            <v>80</v>
          </cell>
          <cell r="U11">
            <v>80</v>
          </cell>
        </row>
        <row r="21">
          <cell r="U21"/>
          <cell r="AA21"/>
        </row>
        <row r="22">
          <cell r="C22">
            <v>80</v>
          </cell>
          <cell r="O22">
            <v>80</v>
          </cell>
          <cell r="U22">
            <v>80</v>
          </cell>
          <cell r="AA22">
            <v>80</v>
          </cell>
        </row>
        <row r="23">
          <cell r="U23">
            <v>80</v>
          </cell>
          <cell r="AA23">
            <v>80</v>
          </cell>
        </row>
        <row r="24">
          <cell r="I24">
            <v>80</v>
          </cell>
          <cell r="U24">
            <v>80</v>
          </cell>
        </row>
        <row r="25">
          <cell r="U25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177B-29D8-4F37-879E-3D6221A4C7E1}">
  <sheetPr>
    <pageSetUpPr fitToPage="1"/>
  </sheetPr>
  <dimension ref="A1:W46"/>
  <sheetViews>
    <sheetView view="pageBreakPreview" zoomScale="28" zoomScaleNormal="48" zoomScaleSheetLayoutView="28" workbookViewId="0">
      <selection activeCell="H45" sqref="H45"/>
    </sheetView>
  </sheetViews>
  <sheetFormatPr defaultRowHeight="16.149999999999999"/>
  <cols>
    <col min="1" max="1" width="6.86328125" customWidth="1"/>
    <col min="2" max="2" width="20.59765625" customWidth="1"/>
    <col min="4" max="4" width="16.73046875" customWidth="1"/>
    <col min="5" max="5" width="13.59765625" customWidth="1"/>
    <col min="6" max="6" width="7.46484375" customWidth="1"/>
    <col min="7" max="7" width="6.86328125" customWidth="1"/>
    <col min="8" max="8" width="20.59765625" customWidth="1"/>
    <col min="10" max="10" width="41.73046875" customWidth="1"/>
    <col min="11" max="11" width="13.59765625" customWidth="1"/>
    <col min="12" max="12" width="3.59765625" customWidth="1"/>
    <col min="13" max="13" width="6.86328125" customWidth="1"/>
    <col min="14" max="14" width="11.59765625" customWidth="1"/>
    <col min="16" max="17" width="9.59765625" customWidth="1"/>
    <col min="18" max="18" width="7.46484375" customWidth="1"/>
    <col min="19" max="19" width="6.86328125" customWidth="1"/>
    <col min="20" max="20" width="11.59765625" customWidth="1"/>
    <col min="22" max="23" width="9.59765625" customWidth="1"/>
    <col min="24" max="24" width="2.73046875" customWidth="1"/>
  </cols>
  <sheetData>
    <row r="1" spans="1:23" ht="36.4" thickBot="1">
      <c r="A1" s="145" t="s">
        <v>102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  <c r="M1" s="145" t="s">
        <v>90</v>
      </c>
      <c r="N1" s="146"/>
      <c r="O1" s="146"/>
      <c r="P1" s="146"/>
      <c r="Q1" s="146"/>
      <c r="R1" s="146"/>
      <c r="S1" s="146"/>
      <c r="T1" s="146"/>
      <c r="U1" s="146"/>
      <c r="V1" s="146"/>
      <c r="W1" s="147"/>
    </row>
    <row r="2" spans="1:23" ht="44.25" customHeight="1" thickBot="1">
      <c r="A2" s="148" t="s">
        <v>485</v>
      </c>
      <c r="B2" s="149"/>
      <c r="C2" s="149"/>
      <c r="D2" s="149"/>
      <c r="E2" s="149"/>
      <c r="F2" s="149"/>
      <c r="G2" s="149"/>
      <c r="H2" s="149"/>
      <c r="I2" s="149"/>
      <c r="J2" s="149"/>
      <c r="K2" s="150"/>
      <c r="M2" s="151" t="s">
        <v>91</v>
      </c>
      <c r="N2" s="152"/>
      <c r="O2" s="152"/>
      <c r="P2" s="152"/>
      <c r="Q2" s="152"/>
      <c r="R2" s="152"/>
      <c r="S2" s="152"/>
      <c r="T2" s="152"/>
      <c r="U2" s="152"/>
      <c r="V2" s="152"/>
      <c r="W2" s="153"/>
    </row>
    <row r="3" spans="1:23" ht="31.15" hidden="1" thickBot="1">
      <c r="A3" s="154" t="s">
        <v>92</v>
      </c>
      <c r="B3" s="155"/>
      <c r="C3" s="155"/>
      <c r="D3" s="155"/>
      <c r="E3" s="156"/>
      <c r="F3" s="91" t="s">
        <v>93</v>
      </c>
      <c r="G3" s="157" t="s">
        <v>94</v>
      </c>
      <c r="H3" s="158"/>
      <c r="I3" s="158"/>
      <c r="J3" s="158"/>
      <c r="K3" s="159"/>
      <c r="M3" s="154" t="s">
        <v>92</v>
      </c>
      <c r="N3" s="155"/>
      <c r="O3" s="155"/>
      <c r="P3" s="155"/>
      <c r="Q3" s="156"/>
      <c r="R3" s="91" t="s">
        <v>93</v>
      </c>
      <c r="S3" s="160" t="s">
        <v>94</v>
      </c>
      <c r="T3" s="161"/>
      <c r="U3" s="161"/>
      <c r="V3" s="161"/>
      <c r="W3" s="162"/>
    </row>
    <row r="4" spans="1:23" ht="36.4" thickBot="1">
      <c r="A4" s="163" t="s">
        <v>95</v>
      </c>
      <c r="B4" s="164"/>
      <c r="C4" s="164"/>
      <c r="D4" s="164"/>
      <c r="E4" s="165"/>
      <c r="F4" s="91" t="s">
        <v>93</v>
      </c>
      <c r="G4" s="163" t="s">
        <v>96</v>
      </c>
      <c r="H4" s="164"/>
      <c r="I4" s="164"/>
      <c r="J4" s="164"/>
      <c r="K4" s="165"/>
      <c r="M4" s="163" t="s">
        <v>95</v>
      </c>
      <c r="N4" s="164"/>
      <c r="O4" s="164"/>
      <c r="P4" s="164"/>
      <c r="Q4" s="165"/>
      <c r="R4" s="91" t="s">
        <v>93</v>
      </c>
      <c r="S4" s="163" t="s">
        <v>96</v>
      </c>
      <c r="T4" s="164"/>
      <c r="U4" s="164"/>
      <c r="V4" s="164"/>
      <c r="W4" s="165"/>
    </row>
    <row r="5" spans="1:23" ht="36">
      <c r="A5" s="166" t="s">
        <v>97</v>
      </c>
      <c r="B5" s="167"/>
      <c r="C5" s="167"/>
      <c r="D5" s="168"/>
      <c r="E5" s="169"/>
      <c r="F5" s="91" t="s">
        <v>93</v>
      </c>
      <c r="G5" s="166" t="s">
        <v>97</v>
      </c>
      <c r="H5" s="167"/>
      <c r="I5" s="167"/>
      <c r="J5" s="168"/>
      <c r="K5" s="169"/>
      <c r="M5" s="166" t="s">
        <v>97</v>
      </c>
      <c r="N5" s="167"/>
      <c r="O5" s="167"/>
      <c r="P5" s="168"/>
      <c r="Q5" s="169"/>
      <c r="R5" s="91" t="s">
        <v>93</v>
      </c>
      <c r="S5" s="166" t="s">
        <v>97</v>
      </c>
      <c r="T5" s="167"/>
      <c r="U5" s="167"/>
      <c r="V5" s="168"/>
      <c r="W5" s="169"/>
    </row>
    <row r="6" spans="1:23" ht="31.15" thickBot="1">
      <c r="A6" s="178">
        <v>45978</v>
      </c>
      <c r="B6" s="179"/>
      <c r="C6" s="179"/>
      <c r="D6" s="170">
        <f>A6</f>
        <v>45978</v>
      </c>
      <c r="E6" s="171"/>
      <c r="F6" s="91" t="s">
        <v>93</v>
      </c>
      <c r="G6" s="180">
        <f>A6</f>
        <v>45978</v>
      </c>
      <c r="H6" s="181"/>
      <c r="I6" s="181"/>
      <c r="J6" s="182">
        <f>D6</f>
        <v>45978</v>
      </c>
      <c r="K6" s="183"/>
      <c r="M6" s="178">
        <f>A22+1</f>
        <v>45981</v>
      </c>
      <c r="N6" s="179"/>
      <c r="O6" s="179"/>
      <c r="P6" s="170">
        <f>M6</f>
        <v>45981</v>
      </c>
      <c r="Q6" s="171"/>
      <c r="R6" s="91" t="s">
        <v>93</v>
      </c>
      <c r="S6" s="172">
        <f>M6</f>
        <v>45981</v>
      </c>
      <c r="T6" s="173"/>
      <c r="U6" s="173"/>
      <c r="V6" s="174">
        <f>P6</f>
        <v>45981</v>
      </c>
      <c r="W6" s="175"/>
    </row>
    <row r="7" spans="1:23" ht="30.75">
      <c r="A7" s="176" t="s">
        <v>0</v>
      </c>
      <c r="B7" s="177"/>
      <c r="C7" s="92" t="s">
        <v>98</v>
      </c>
      <c r="D7" s="93" t="s">
        <v>1</v>
      </c>
      <c r="E7" s="94" t="s">
        <v>99</v>
      </c>
      <c r="F7" s="91" t="s">
        <v>93</v>
      </c>
      <c r="G7" s="176" t="s">
        <v>0</v>
      </c>
      <c r="H7" s="177"/>
      <c r="I7" s="92" t="s">
        <v>98</v>
      </c>
      <c r="J7" s="93" t="s">
        <v>100</v>
      </c>
      <c r="K7" s="94" t="s">
        <v>99</v>
      </c>
      <c r="M7" s="176" t="s">
        <v>0</v>
      </c>
      <c r="N7" s="177"/>
      <c r="O7" s="92" t="s">
        <v>98</v>
      </c>
      <c r="P7" s="93" t="s">
        <v>1</v>
      </c>
      <c r="Q7" s="94" t="s">
        <v>99</v>
      </c>
      <c r="R7" s="91" t="s">
        <v>93</v>
      </c>
      <c r="S7" s="176" t="s">
        <v>0</v>
      </c>
      <c r="T7" s="177"/>
      <c r="U7" s="92" t="s">
        <v>98</v>
      </c>
      <c r="V7" s="93" t="s">
        <v>1</v>
      </c>
      <c r="W7" s="94" t="s">
        <v>99</v>
      </c>
    </row>
    <row r="8" spans="1:23" ht="30.75">
      <c r="A8" s="4">
        <v>1</v>
      </c>
      <c r="B8" s="5" t="s">
        <v>61</v>
      </c>
      <c r="C8" s="6">
        <f>[1]週菜單!C7</f>
        <v>110</v>
      </c>
      <c r="D8" s="1"/>
      <c r="E8" s="2"/>
      <c r="F8" s="91" t="s">
        <v>93</v>
      </c>
      <c r="G8" s="4">
        <v>1</v>
      </c>
      <c r="H8" s="5" t="s">
        <v>61</v>
      </c>
      <c r="I8" s="95">
        <f>C8</f>
        <v>110</v>
      </c>
      <c r="J8" s="1"/>
      <c r="K8" s="2"/>
      <c r="M8" s="4">
        <v>1</v>
      </c>
      <c r="N8" s="5" t="s">
        <v>61</v>
      </c>
      <c r="O8" s="6">
        <f>[1]週菜單!O7</f>
        <v>110</v>
      </c>
      <c r="P8" s="1"/>
      <c r="Q8" s="2"/>
      <c r="R8" s="91" t="s">
        <v>93</v>
      </c>
      <c r="S8" s="4">
        <v>1</v>
      </c>
      <c r="T8" s="5" t="s">
        <v>61</v>
      </c>
      <c r="U8" s="95">
        <f>O8</f>
        <v>110</v>
      </c>
      <c r="V8" s="1"/>
      <c r="W8" s="2"/>
    </row>
    <row r="9" spans="1:23" ht="30.75">
      <c r="A9" s="4">
        <v>2</v>
      </c>
      <c r="B9" s="5" t="s">
        <v>412</v>
      </c>
      <c r="C9" s="6">
        <f>[1]週菜單!C8</f>
        <v>85</v>
      </c>
      <c r="D9" s="1"/>
      <c r="E9" s="2"/>
      <c r="F9" s="91" t="s">
        <v>93</v>
      </c>
      <c r="G9" s="4">
        <v>2</v>
      </c>
      <c r="H9" s="5" t="s">
        <v>412</v>
      </c>
      <c r="I9" s="6">
        <f>C9</f>
        <v>85</v>
      </c>
      <c r="J9" s="1"/>
      <c r="K9" s="2"/>
      <c r="M9" s="4">
        <v>2</v>
      </c>
      <c r="N9" s="5" t="s">
        <v>104</v>
      </c>
      <c r="O9" s="6">
        <f>[1]週菜單!O8</f>
        <v>85</v>
      </c>
      <c r="P9" s="1"/>
      <c r="Q9" s="2"/>
      <c r="R9" s="91" t="s">
        <v>93</v>
      </c>
      <c r="S9" s="4">
        <v>2</v>
      </c>
      <c r="T9" s="5" t="s">
        <v>104</v>
      </c>
      <c r="U9" s="6">
        <f>O9</f>
        <v>85</v>
      </c>
      <c r="V9" s="1"/>
      <c r="W9" s="2"/>
    </row>
    <row r="10" spans="1:23" ht="30.75">
      <c r="A10" s="4">
        <v>3</v>
      </c>
      <c r="B10" s="5" t="s">
        <v>346</v>
      </c>
      <c r="C10" s="6">
        <f>[1]週菜單!C9</f>
        <v>85</v>
      </c>
      <c r="D10" s="1"/>
      <c r="E10" s="2"/>
      <c r="F10" s="91" t="s">
        <v>93</v>
      </c>
      <c r="G10" s="4">
        <v>3</v>
      </c>
      <c r="H10" s="5" t="s">
        <v>346</v>
      </c>
      <c r="I10" s="6">
        <f>C10</f>
        <v>85</v>
      </c>
      <c r="J10" s="1"/>
      <c r="K10" s="2"/>
      <c r="M10" s="4">
        <v>3</v>
      </c>
      <c r="N10" s="5" t="s">
        <v>106</v>
      </c>
      <c r="O10" s="6">
        <f>[1]週菜單!O9</f>
        <v>85</v>
      </c>
      <c r="P10" s="1"/>
      <c r="Q10" s="2"/>
      <c r="R10" s="91" t="s">
        <v>93</v>
      </c>
      <c r="S10" s="4">
        <v>3</v>
      </c>
      <c r="T10" s="5" t="s">
        <v>106</v>
      </c>
      <c r="U10" s="6">
        <f>O10</f>
        <v>85</v>
      </c>
      <c r="V10" s="1"/>
      <c r="W10" s="2"/>
    </row>
    <row r="11" spans="1:23" ht="30.75">
      <c r="A11" s="4">
        <v>4</v>
      </c>
      <c r="B11" s="5" t="s">
        <v>465</v>
      </c>
      <c r="C11" s="6">
        <f>[1]週菜單!C11</f>
        <v>80</v>
      </c>
      <c r="D11" s="1"/>
      <c r="E11" s="2"/>
      <c r="F11" s="91" t="s">
        <v>93</v>
      </c>
      <c r="G11" s="4">
        <v>4</v>
      </c>
      <c r="H11" s="5" t="s">
        <v>465</v>
      </c>
      <c r="I11" s="6">
        <f>C11</f>
        <v>80</v>
      </c>
      <c r="J11" s="1"/>
      <c r="K11" s="2"/>
      <c r="M11" s="4">
        <v>4</v>
      </c>
      <c r="N11" s="5" t="s">
        <v>108</v>
      </c>
      <c r="O11" s="6">
        <f>[1]週菜單!O11</f>
        <v>80</v>
      </c>
      <c r="P11" s="1"/>
      <c r="Q11" s="2"/>
      <c r="R11" s="91" t="s">
        <v>93</v>
      </c>
      <c r="S11" s="4">
        <v>4</v>
      </c>
      <c r="T11" s="5" t="s">
        <v>108</v>
      </c>
      <c r="U11" s="6">
        <f>O11</f>
        <v>80</v>
      </c>
      <c r="V11" s="1"/>
      <c r="W11" s="2"/>
    </row>
    <row r="12" spans="1:23" ht="30.75">
      <c r="A12" s="4">
        <v>5</v>
      </c>
      <c r="B12" s="5" t="s">
        <v>244</v>
      </c>
      <c r="C12" s="6">
        <f>[1]週菜單!C22</f>
        <v>80</v>
      </c>
      <c r="D12" s="1"/>
      <c r="E12" s="2"/>
      <c r="F12" s="91" t="s">
        <v>93</v>
      </c>
      <c r="G12" s="4">
        <v>5</v>
      </c>
      <c r="H12" s="5" t="s">
        <v>244</v>
      </c>
      <c r="I12" s="6">
        <f>C12</f>
        <v>80</v>
      </c>
      <c r="J12" s="1"/>
      <c r="K12" s="2"/>
      <c r="M12" s="4">
        <v>5</v>
      </c>
      <c r="N12" s="5" t="s">
        <v>110</v>
      </c>
      <c r="O12" s="6">
        <f>[1]週菜單!O22</f>
        <v>80</v>
      </c>
      <c r="P12" s="1"/>
      <c r="Q12" s="2"/>
      <c r="R12" s="91" t="s">
        <v>93</v>
      </c>
      <c r="S12" s="4">
        <v>5</v>
      </c>
      <c r="T12" s="5" t="s">
        <v>110</v>
      </c>
      <c r="U12" s="6">
        <f>O12</f>
        <v>80</v>
      </c>
      <c r="V12" s="1"/>
      <c r="W12" s="2"/>
    </row>
    <row r="13" spans="1:23" ht="30.75">
      <c r="A13" s="4">
        <v>6</v>
      </c>
      <c r="B13" s="5" t="s">
        <v>111</v>
      </c>
      <c r="C13" s="6">
        <v>85</v>
      </c>
      <c r="D13" s="1"/>
      <c r="E13" s="2"/>
      <c r="F13" s="91" t="s">
        <v>93</v>
      </c>
      <c r="G13" s="4">
        <v>6</v>
      </c>
      <c r="H13" s="5" t="s">
        <v>41</v>
      </c>
      <c r="I13" s="6">
        <v>85</v>
      </c>
      <c r="J13" s="1"/>
      <c r="K13" s="2"/>
      <c r="M13" s="114"/>
      <c r="N13" s="115"/>
      <c r="O13" s="116"/>
      <c r="P13" s="3"/>
      <c r="Q13" s="117"/>
      <c r="R13" s="91"/>
      <c r="S13" s="114"/>
      <c r="T13" s="115"/>
      <c r="U13" s="116"/>
      <c r="V13" s="3"/>
      <c r="W13" s="117"/>
    </row>
    <row r="14" spans="1:23" ht="31.15" thickBot="1">
      <c r="A14" s="178">
        <f>A6+1</f>
        <v>45979</v>
      </c>
      <c r="B14" s="179"/>
      <c r="C14" s="179"/>
      <c r="D14" s="170">
        <f>A14</f>
        <v>45979</v>
      </c>
      <c r="E14" s="171"/>
      <c r="F14" s="91" t="s">
        <v>93</v>
      </c>
      <c r="G14" s="180">
        <f>A14</f>
        <v>45979</v>
      </c>
      <c r="H14" s="181"/>
      <c r="I14" s="181"/>
      <c r="J14" s="182">
        <f>D14</f>
        <v>45979</v>
      </c>
      <c r="K14" s="183"/>
      <c r="M14" s="178">
        <f>M6+1</f>
        <v>45982</v>
      </c>
      <c r="N14" s="179"/>
      <c r="O14" s="179"/>
      <c r="P14" s="170">
        <f>M14</f>
        <v>45982</v>
      </c>
      <c r="Q14" s="171"/>
      <c r="R14" s="91" t="s">
        <v>93</v>
      </c>
      <c r="S14" s="172">
        <f>M14</f>
        <v>45982</v>
      </c>
      <c r="T14" s="173"/>
      <c r="U14" s="173"/>
      <c r="V14" s="174">
        <f>P14</f>
        <v>45982</v>
      </c>
      <c r="W14" s="175"/>
    </row>
    <row r="15" spans="1:23" ht="30.75">
      <c r="A15" s="176" t="s">
        <v>0</v>
      </c>
      <c r="B15" s="177"/>
      <c r="C15" s="92" t="s">
        <v>98</v>
      </c>
      <c r="D15" s="93" t="s">
        <v>1</v>
      </c>
      <c r="E15" s="94" t="s">
        <v>99</v>
      </c>
      <c r="F15" s="91" t="s">
        <v>93</v>
      </c>
      <c r="G15" s="176" t="s">
        <v>0</v>
      </c>
      <c r="H15" s="177"/>
      <c r="I15" s="92" t="s">
        <v>98</v>
      </c>
      <c r="J15" s="93" t="s">
        <v>100</v>
      </c>
      <c r="K15" s="94" t="s">
        <v>99</v>
      </c>
      <c r="M15" s="176" t="s">
        <v>0</v>
      </c>
      <c r="N15" s="177"/>
      <c r="O15" s="92" t="s">
        <v>98</v>
      </c>
      <c r="P15" s="93" t="s">
        <v>1</v>
      </c>
      <c r="Q15" s="94" t="s">
        <v>99</v>
      </c>
      <c r="R15" s="91" t="s">
        <v>93</v>
      </c>
      <c r="S15" s="176" t="s">
        <v>0</v>
      </c>
      <c r="T15" s="177"/>
      <c r="U15" s="92" t="s">
        <v>98</v>
      </c>
      <c r="V15" s="93" t="s">
        <v>1</v>
      </c>
      <c r="W15" s="94" t="s">
        <v>99</v>
      </c>
    </row>
    <row r="16" spans="1:23" ht="30.75">
      <c r="A16" s="4">
        <v>1</v>
      </c>
      <c r="B16" s="5" t="s">
        <v>61</v>
      </c>
      <c r="C16" s="6">
        <f>[1]週菜單!I7</f>
        <v>110</v>
      </c>
      <c r="D16" s="1"/>
      <c r="E16" s="2"/>
      <c r="F16" s="91" t="s">
        <v>93</v>
      </c>
      <c r="G16" s="4">
        <v>1</v>
      </c>
      <c r="H16" s="5" t="s">
        <v>61</v>
      </c>
      <c r="I16" s="6">
        <v>110</v>
      </c>
      <c r="J16" s="1"/>
      <c r="K16" s="2"/>
      <c r="M16" s="4">
        <v>1</v>
      </c>
      <c r="N16" s="5" t="s">
        <v>61</v>
      </c>
      <c r="O16" s="6">
        <f>[1]週菜單!U7</f>
        <v>110</v>
      </c>
      <c r="P16" s="1"/>
      <c r="Q16" s="2"/>
      <c r="R16" s="91" t="s">
        <v>93</v>
      </c>
      <c r="S16" s="4">
        <v>1</v>
      </c>
      <c r="T16" s="5" t="s">
        <v>61</v>
      </c>
      <c r="U16" s="6">
        <v>110</v>
      </c>
      <c r="V16" s="1"/>
      <c r="W16" s="2"/>
    </row>
    <row r="17" spans="1:23" ht="30.75">
      <c r="A17" s="4">
        <v>2</v>
      </c>
      <c r="B17" s="5" t="s">
        <v>165</v>
      </c>
      <c r="C17" s="6">
        <f>[1]週菜單!I8</f>
        <v>85</v>
      </c>
      <c r="D17" s="1"/>
      <c r="E17" s="2"/>
      <c r="F17" s="91" t="s">
        <v>93</v>
      </c>
      <c r="G17" s="4">
        <v>2</v>
      </c>
      <c r="H17" s="5" t="s">
        <v>165</v>
      </c>
      <c r="I17" s="6">
        <v>85</v>
      </c>
      <c r="J17" s="1"/>
      <c r="K17" s="2"/>
      <c r="M17" s="4">
        <v>2</v>
      </c>
      <c r="N17" s="5" t="s">
        <v>113</v>
      </c>
      <c r="O17" s="6">
        <f>[1]週菜單!U8</f>
        <v>85</v>
      </c>
      <c r="P17" s="1"/>
      <c r="Q17" s="2"/>
      <c r="R17" s="91" t="s">
        <v>93</v>
      </c>
      <c r="S17" s="4">
        <v>2</v>
      </c>
      <c r="T17" s="5" t="s">
        <v>113</v>
      </c>
      <c r="U17" s="6">
        <v>85</v>
      </c>
      <c r="V17" s="1"/>
      <c r="W17" s="2"/>
    </row>
    <row r="18" spans="1:23" ht="30.75">
      <c r="A18" s="4">
        <v>3</v>
      </c>
      <c r="B18" s="5" t="s">
        <v>285</v>
      </c>
      <c r="C18" s="6">
        <f>[1]週菜單!I9</f>
        <v>85</v>
      </c>
      <c r="D18" s="1"/>
      <c r="E18" s="2"/>
      <c r="F18" s="91" t="s">
        <v>93</v>
      </c>
      <c r="G18" s="4">
        <v>3</v>
      </c>
      <c r="H18" s="5" t="s">
        <v>285</v>
      </c>
      <c r="I18" s="6">
        <v>85</v>
      </c>
      <c r="J18" s="1"/>
      <c r="K18" s="2"/>
      <c r="M18" s="4">
        <v>3</v>
      </c>
      <c r="N18" s="5" t="s">
        <v>114</v>
      </c>
      <c r="O18" s="6">
        <f>[1]週菜單!U9</f>
        <v>85</v>
      </c>
      <c r="P18" s="1"/>
      <c r="Q18" s="2"/>
      <c r="R18" s="91" t="s">
        <v>93</v>
      </c>
      <c r="S18" s="4">
        <v>3</v>
      </c>
      <c r="T18" s="5" t="s">
        <v>114</v>
      </c>
      <c r="U18" s="6">
        <v>85</v>
      </c>
      <c r="V18" s="1"/>
      <c r="W18" s="2"/>
    </row>
    <row r="19" spans="1:23" ht="30.75">
      <c r="A19" s="4">
        <v>4</v>
      </c>
      <c r="B19" s="5" t="s">
        <v>483</v>
      </c>
      <c r="C19" s="6">
        <v>120</v>
      </c>
      <c r="D19" s="1"/>
      <c r="E19" s="2"/>
      <c r="F19" s="91" t="s">
        <v>93</v>
      </c>
      <c r="G19" s="4">
        <v>4</v>
      </c>
      <c r="H19" s="5" t="s">
        <v>483</v>
      </c>
      <c r="I19" s="6">
        <v>120</v>
      </c>
      <c r="J19" s="1"/>
      <c r="K19" s="2"/>
      <c r="M19" s="4">
        <v>4</v>
      </c>
      <c r="N19" s="5" t="s">
        <v>116</v>
      </c>
      <c r="O19" s="6">
        <f>[1]週菜單!U11</f>
        <v>80</v>
      </c>
      <c r="P19" s="1"/>
      <c r="Q19" s="2"/>
      <c r="R19" s="91" t="s">
        <v>93</v>
      </c>
      <c r="S19" s="4">
        <v>4</v>
      </c>
      <c r="T19" s="5" t="s">
        <v>116</v>
      </c>
      <c r="U19" s="6">
        <v>80</v>
      </c>
      <c r="V19" s="1"/>
      <c r="W19" s="2"/>
    </row>
    <row r="20" spans="1:23" ht="30.75">
      <c r="A20" s="4">
        <v>5</v>
      </c>
      <c r="B20" s="5" t="s">
        <v>317</v>
      </c>
      <c r="C20" s="6">
        <f>[1]週菜單!I24</f>
        <v>80</v>
      </c>
      <c r="D20" s="1"/>
      <c r="E20" s="2"/>
      <c r="F20" s="91" t="s">
        <v>93</v>
      </c>
      <c r="G20" s="4">
        <v>5</v>
      </c>
      <c r="H20" s="5" t="s">
        <v>317</v>
      </c>
      <c r="I20" s="6">
        <v>80</v>
      </c>
      <c r="J20" s="1"/>
      <c r="K20" s="2"/>
      <c r="M20" s="4">
        <v>5</v>
      </c>
      <c r="N20" s="5" t="s">
        <v>118</v>
      </c>
      <c r="O20" s="6">
        <f>[1]週菜單!U24</f>
        <v>80</v>
      </c>
      <c r="P20" s="1"/>
      <c r="Q20" s="2"/>
      <c r="R20" s="91" t="s">
        <v>93</v>
      </c>
      <c r="S20" s="4">
        <v>5</v>
      </c>
      <c r="T20" s="5" t="s">
        <v>118</v>
      </c>
      <c r="U20" s="6">
        <v>80</v>
      </c>
      <c r="V20" s="1"/>
      <c r="W20" s="2"/>
    </row>
    <row r="21" spans="1:23" ht="30.75">
      <c r="A21" s="4">
        <v>6</v>
      </c>
      <c r="B21" s="5" t="s">
        <v>111</v>
      </c>
      <c r="C21" s="6">
        <v>85</v>
      </c>
      <c r="D21" s="1"/>
      <c r="E21" s="2"/>
      <c r="F21" s="91" t="s">
        <v>93</v>
      </c>
      <c r="G21" s="4">
        <v>6</v>
      </c>
      <c r="H21" s="5" t="s">
        <v>111</v>
      </c>
      <c r="I21" s="6">
        <v>85</v>
      </c>
      <c r="J21" s="1"/>
      <c r="K21" s="2"/>
      <c r="M21" s="114"/>
      <c r="N21" s="115"/>
      <c r="O21" s="116"/>
      <c r="P21" s="3"/>
      <c r="Q21" s="117"/>
      <c r="R21" s="91"/>
      <c r="S21" s="114"/>
      <c r="T21" s="115"/>
      <c r="U21" s="116"/>
      <c r="V21" s="3"/>
      <c r="W21" s="117"/>
    </row>
    <row r="22" spans="1:23" ht="31.15" thickBot="1">
      <c r="A22" s="178">
        <f>A14+1</f>
        <v>45980</v>
      </c>
      <c r="B22" s="179"/>
      <c r="C22" s="179"/>
      <c r="D22" s="170">
        <f>A22</f>
        <v>45980</v>
      </c>
      <c r="E22" s="171"/>
      <c r="F22" s="91" t="s">
        <v>93</v>
      </c>
      <c r="G22" s="180">
        <f>A22</f>
        <v>45980</v>
      </c>
      <c r="H22" s="181"/>
      <c r="I22" s="181"/>
      <c r="J22" s="182">
        <f>D22</f>
        <v>45980</v>
      </c>
      <c r="K22" s="183"/>
      <c r="M22" s="178"/>
      <c r="N22" s="179"/>
      <c r="O22" s="179"/>
      <c r="P22" s="170">
        <f>M22</f>
        <v>0</v>
      </c>
      <c r="Q22" s="171"/>
      <c r="R22" s="91" t="s">
        <v>93</v>
      </c>
      <c r="S22" s="172"/>
      <c r="T22" s="173"/>
      <c r="U22" s="173"/>
      <c r="V22" s="174">
        <f>P22</f>
        <v>0</v>
      </c>
      <c r="W22" s="175"/>
    </row>
    <row r="23" spans="1:23" ht="30.75">
      <c r="A23" s="176" t="s">
        <v>0</v>
      </c>
      <c r="B23" s="177"/>
      <c r="C23" s="92" t="s">
        <v>98</v>
      </c>
      <c r="D23" s="93" t="s">
        <v>1</v>
      </c>
      <c r="E23" s="94" t="s">
        <v>99</v>
      </c>
      <c r="F23" s="91" t="s">
        <v>93</v>
      </c>
      <c r="G23" s="176" t="s">
        <v>0</v>
      </c>
      <c r="H23" s="177"/>
      <c r="I23" s="92" t="s">
        <v>98</v>
      </c>
      <c r="J23" s="93" t="s">
        <v>100</v>
      </c>
      <c r="K23" s="94" t="s">
        <v>99</v>
      </c>
      <c r="M23" s="176" t="s">
        <v>0</v>
      </c>
      <c r="N23" s="177"/>
      <c r="O23" s="92" t="s">
        <v>98</v>
      </c>
      <c r="P23" s="93" t="s">
        <v>1</v>
      </c>
      <c r="Q23" s="94" t="s">
        <v>99</v>
      </c>
      <c r="R23" s="91" t="s">
        <v>93</v>
      </c>
      <c r="S23" s="176" t="s">
        <v>0</v>
      </c>
      <c r="T23" s="177"/>
      <c r="U23" s="92" t="s">
        <v>98</v>
      </c>
      <c r="V23" s="93" t="s">
        <v>1</v>
      </c>
      <c r="W23" s="94" t="s">
        <v>99</v>
      </c>
    </row>
    <row r="24" spans="1:23" ht="30.75">
      <c r="A24" s="4">
        <v>1</v>
      </c>
      <c r="B24" s="5" t="s">
        <v>61</v>
      </c>
      <c r="C24" s="6">
        <f>[1]週菜單!O7</f>
        <v>110</v>
      </c>
      <c r="D24" s="1"/>
      <c r="E24" s="2"/>
      <c r="F24" s="91" t="s">
        <v>93</v>
      </c>
      <c r="G24" s="4">
        <v>1</v>
      </c>
      <c r="H24" s="5" t="s">
        <v>61</v>
      </c>
      <c r="I24" s="6">
        <v>110</v>
      </c>
      <c r="J24" s="1"/>
      <c r="K24" s="2"/>
      <c r="M24" s="4">
        <v>1</v>
      </c>
      <c r="N24" s="5"/>
      <c r="O24" s="6">
        <f>[1]週菜單!AA7</f>
        <v>110</v>
      </c>
      <c r="P24" s="1"/>
      <c r="Q24" s="2"/>
      <c r="R24" s="91" t="s">
        <v>93</v>
      </c>
      <c r="S24" s="4">
        <v>1</v>
      </c>
      <c r="T24" s="5"/>
      <c r="U24" s="6">
        <v>110</v>
      </c>
      <c r="V24" s="1"/>
      <c r="W24" s="2"/>
    </row>
    <row r="25" spans="1:23" ht="30.75">
      <c r="A25" s="4">
        <v>2</v>
      </c>
      <c r="B25" s="5" t="s">
        <v>404</v>
      </c>
      <c r="C25" s="6">
        <f>[1]週菜單!O8</f>
        <v>85</v>
      </c>
      <c r="D25" s="1"/>
      <c r="E25" s="2"/>
      <c r="F25" s="91" t="s">
        <v>93</v>
      </c>
      <c r="G25" s="4">
        <v>2</v>
      </c>
      <c r="H25" s="5" t="s">
        <v>404</v>
      </c>
      <c r="I25" s="6">
        <v>85</v>
      </c>
      <c r="J25" s="1"/>
      <c r="K25" s="2"/>
      <c r="M25" s="4">
        <v>2</v>
      </c>
      <c r="N25" s="5"/>
      <c r="O25" s="6">
        <f>[1]週菜單!AA8</f>
        <v>85</v>
      </c>
      <c r="P25" s="1"/>
      <c r="Q25" s="2"/>
      <c r="R25" s="91" t="s">
        <v>93</v>
      </c>
      <c r="S25" s="4">
        <v>2</v>
      </c>
      <c r="T25" s="5"/>
      <c r="U25" s="6">
        <v>85</v>
      </c>
      <c r="V25" s="1"/>
      <c r="W25" s="2"/>
    </row>
    <row r="26" spans="1:23" ht="30.75">
      <c r="A26" s="4">
        <v>3</v>
      </c>
      <c r="B26" s="5" t="s">
        <v>64</v>
      </c>
      <c r="C26" s="6">
        <f>[1]週菜單!O9</f>
        <v>85</v>
      </c>
      <c r="D26" s="1"/>
      <c r="E26" s="2"/>
      <c r="F26" s="91" t="s">
        <v>93</v>
      </c>
      <c r="G26" s="4">
        <v>3</v>
      </c>
      <c r="H26" s="5" t="s">
        <v>64</v>
      </c>
      <c r="I26" s="6">
        <v>85</v>
      </c>
      <c r="J26" s="1"/>
      <c r="K26" s="2"/>
      <c r="M26" s="4">
        <v>3</v>
      </c>
      <c r="N26" s="5"/>
      <c r="O26" s="6">
        <f>[1]週菜單!AA9</f>
        <v>85</v>
      </c>
      <c r="P26" s="1"/>
      <c r="Q26" s="2"/>
      <c r="R26" s="91" t="s">
        <v>93</v>
      </c>
      <c r="S26" s="4">
        <v>3</v>
      </c>
      <c r="T26" s="5"/>
      <c r="U26" s="6">
        <v>85</v>
      </c>
      <c r="V26" s="1"/>
      <c r="W26" s="2"/>
    </row>
    <row r="27" spans="1:23" ht="30.75">
      <c r="A27" s="4">
        <v>4</v>
      </c>
      <c r="B27" s="5" t="s">
        <v>222</v>
      </c>
      <c r="C27" s="6">
        <v>80</v>
      </c>
      <c r="D27" s="1"/>
      <c r="E27" s="2"/>
      <c r="F27" s="91" t="s">
        <v>93</v>
      </c>
      <c r="G27" s="4">
        <v>4</v>
      </c>
      <c r="H27" s="5" t="s">
        <v>222</v>
      </c>
      <c r="I27" s="6">
        <v>80</v>
      </c>
      <c r="J27" s="1"/>
      <c r="K27" s="2"/>
      <c r="M27" s="4">
        <v>4</v>
      </c>
      <c r="N27" s="5"/>
      <c r="O27" s="6">
        <v>80</v>
      </c>
      <c r="P27" s="1"/>
      <c r="Q27" s="2"/>
      <c r="R27" s="91" t="s">
        <v>93</v>
      </c>
      <c r="S27" s="4">
        <v>4</v>
      </c>
      <c r="T27" s="5"/>
      <c r="U27" s="6">
        <v>80</v>
      </c>
      <c r="V27" s="1"/>
      <c r="W27" s="2"/>
    </row>
    <row r="28" spans="1:23" ht="30.75">
      <c r="A28" s="4">
        <v>5</v>
      </c>
      <c r="B28" s="5" t="s">
        <v>146</v>
      </c>
      <c r="C28" s="6">
        <v>80</v>
      </c>
      <c r="D28" s="1"/>
      <c r="E28" s="2"/>
      <c r="F28" s="91" t="s">
        <v>93</v>
      </c>
      <c r="G28" s="4">
        <v>5</v>
      </c>
      <c r="H28" s="5" t="s">
        <v>146</v>
      </c>
      <c r="I28" s="6">
        <v>80</v>
      </c>
      <c r="J28" s="1"/>
      <c r="K28" s="2"/>
      <c r="M28" s="4">
        <v>5</v>
      </c>
      <c r="N28" s="5"/>
      <c r="O28" s="6">
        <v>80</v>
      </c>
      <c r="P28" s="1"/>
      <c r="Q28" s="2"/>
      <c r="R28" s="91" t="s">
        <v>93</v>
      </c>
      <c r="S28" s="4">
        <v>5</v>
      </c>
      <c r="T28" s="5"/>
      <c r="U28" s="6">
        <v>80</v>
      </c>
      <c r="V28" s="1"/>
      <c r="W28" s="2"/>
    </row>
    <row r="29" spans="1:23" ht="30.75">
      <c r="A29" s="4">
        <v>6</v>
      </c>
      <c r="B29" s="5" t="s">
        <v>111</v>
      </c>
      <c r="C29" s="6">
        <v>85</v>
      </c>
      <c r="D29" s="1"/>
      <c r="E29" s="2"/>
      <c r="F29" s="91" t="s">
        <v>93</v>
      </c>
      <c r="G29" s="4">
        <v>6</v>
      </c>
      <c r="H29" s="5" t="s">
        <v>111</v>
      </c>
      <c r="I29" s="6">
        <v>85</v>
      </c>
      <c r="J29" s="1"/>
      <c r="K29" s="2"/>
      <c r="M29" s="114"/>
      <c r="N29" s="115"/>
      <c r="O29" s="116"/>
      <c r="P29" s="3"/>
      <c r="Q29" s="117"/>
      <c r="R29" s="91"/>
      <c r="S29" s="114"/>
      <c r="T29" s="115"/>
      <c r="U29" s="116"/>
      <c r="V29" s="3"/>
      <c r="W29" s="117"/>
    </row>
    <row r="30" spans="1:23" ht="31.15" thickBot="1">
      <c r="A30" s="178">
        <f>A22+1</f>
        <v>45981</v>
      </c>
      <c r="B30" s="179"/>
      <c r="C30" s="179"/>
      <c r="D30" s="170">
        <f>A30</f>
        <v>45981</v>
      </c>
      <c r="E30" s="171"/>
      <c r="F30" s="91" t="s">
        <v>93</v>
      </c>
      <c r="G30" s="180">
        <f>A30</f>
        <v>45981</v>
      </c>
      <c r="H30" s="181"/>
      <c r="I30" s="181"/>
      <c r="J30" s="182">
        <f>D30</f>
        <v>45981</v>
      </c>
      <c r="K30" s="183"/>
      <c r="M30" s="178">
        <f>M22+1</f>
        <v>1</v>
      </c>
      <c r="N30" s="179"/>
      <c r="O30" s="179"/>
      <c r="P30" s="170">
        <f>M30</f>
        <v>1</v>
      </c>
      <c r="Q30" s="171"/>
      <c r="R30" s="91" t="s">
        <v>93</v>
      </c>
      <c r="S30" s="172">
        <f>M30</f>
        <v>1</v>
      </c>
      <c r="T30" s="173"/>
      <c r="U30" s="173"/>
      <c r="V30" s="174">
        <f>P30</f>
        <v>1</v>
      </c>
      <c r="W30" s="175"/>
    </row>
    <row r="31" spans="1:23" ht="30.75">
      <c r="A31" s="176" t="s">
        <v>0</v>
      </c>
      <c r="B31" s="177"/>
      <c r="C31" s="92" t="s">
        <v>98</v>
      </c>
      <c r="D31" s="93" t="s">
        <v>1</v>
      </c>
      <c r="E31" s="94" t="s">
        <v>99</v>
      </c>
      <c r="F31" s="91" t="s">
        <v>93</v>
      </c>
      <c r="G31" s="176" t="s">
        <v>0</v>
      </c>
      <c r="H31" s="177"/>
      <c r="I31" s="92" t="s">
        <v>98</v>
      </c>
      <c r="J31" s="93" t="s">
        <v>100</v>
      </c>
      <c r="K31" s="94" t="s">
        <v>99</v>
      </c>
      <c r="M31" s="176" t="s">
        <v>0</v>
      </c>
      <c r="N31" s="177"/>
      <c r="O31" s="92" t="s">
        <v>98</v>
      </c>
      <c r="P31" s="93" t="s">
        <v>1</v>
      </c>
      <c r="Q31" s="94" t="s">
        <v>99</v>
      </c>
      <c r="R31" s="91" t="s">
        <v>93</v>
      </c>
      <c r="S31" s="176" t="s">
        <v>0</v>
      </c>
      <c r="T31" s="177"/>
      <c r="U31" s="92" t="s">
        <v>98</v>
      </c>
      <c r="V31" s="93" t="s">
        <v>1</v>
      </c>
      <c r="W31" s="94" t="s">
        <v>99</v>
      </c>
    </row>
    <row r="32" spans="1:23" ht="30.75">
      <c r="A32" s="4">
        <v>1</v>
      </c>
      <c r="B32" s="5" t="s">
        <v>61</v>
      </c>
      <c r="C32" s="6">
        <v>110</v>
      </c>
      <c r="D32" s="1"/>
      <c r="E32" s="2"/>
      <c r="F32" s="91" t="s">
        <v>93</v>
      </c>
      <c r="G32" s="4">
        <v>1</v>
      </c>
      <c r="H32" s="5" t="s">
        <v>61</v>
      </c>
      <c r="I32" s="6">
        <v>110</v>
      </c>
      <c r="J32" s="1"/>
      <c r="K32" s="2"/>
      <c r="M32" s="4">
        <v>1</v>
      </c>
      <c r="N32" s="5" t="s">
        <v>61</v>
      </c>
      <c r="O32" s="6">
        <f>[1]週菜單!U21</f>
        <v>0</v>
      </c>
      <c r="P32" s="1"/>
      <c r="Q32" s="2"/>
      <c r="R32" s="91" t="s">
        <v>93</v>
      </c>
      <c r="S32" s="4">
        <v>1</v>
      </c>
      <c r="T32" s="5" t="s">
        <v>61</v>
      </c>
      <c r="U32" s="6">
        <v>110</v>
      </c>
      <c r="V32" s="1"/>
      <c r="W32" s="2"/>
    </row>
    <row r="33" spans="1:23" ht="30.75">
      <c r="A33" s="4">
        <v>2</v>
      </c>
      <c r="B33" s="5" t="s">
        <v>199</v>
      </c>
      <c r="C33" s="6">
        <v>85</v>
      </c>
      <c r="D33" s="1"/>
      <c r="E33" s="2"/>
      <c r="F33" s="91" t="s">
        <v>93</v>
      </c>
      <c r="G33" s="4">
        <v>2</v>
      </c>
      <c r="H33" s="5" t="s">
        <v>199</v>
      </c>
      <c r="I33" s="6">
        <v>85</v>
      </c>
      <c r="J33" s="1"/>
      <c r="K33" s="2"/>
      <c r="M33" s="4">
        <v>2</v>
      </c>
      <c r="N33" s="5" t="s">
        <v>113</v>
      </c>
      <c r="O33" s="6">
        <f>[1]週菜單!U22</f>
        <v>80</v>
      </c>
      <c r="P33" s="1"/>
      <c r="Q33" s="2"/>
      <c r="R33" s="91" t="s">
        <v>93</v>
      </c>
      <c r="S33" s="4">
        <v>2</v>
      </c>
      <c r="T33" s="5" t="s">
        <v>113</v>
      </c>
      <c r="U33" s="6">
        <v>85</v>
      </c>
      <c r="V33" s="1"/>
      <c r="W33" s="2"/>
    </row>
    <row r="34" spans="1:23" ht="30.75">
      <c r="A34" s="4">
        <v>3</v>
      </c>
      <c r="B34" s="5" t="s">
        <v>484</v>
      </c>
      <c r="C34" s="6">
        <v>85</v>
      </c>
      <c r="D34" s="1"/>
      <c r="E34" s="2"/>
      <c r="F34" s="91" t="s">
        <v>93</v>
      </c>
      <c r="G34" s="4">
        <v>3</v>
      </c>
      <c r="H34" s="5" t="s">
        <v>484</v>
      </c>
      <c r="I34" s="6">
        <v>85</v>
      </c>
      <c r="J34" s="1"/>
      <c r="K34" s="2"/>
      <c r="M34" s="4">
        <v>3</v>
      </c>
      <c r="N34" s="5" t="s">
        <v>114</v>
      </c>
      <c r="O34" s="6">
        <f>[1]週菜單!U23</f>
        <v>80</v>
      </c>
      <c r="P34" s="1"/>
      <c r="Q34" s="2"/>
      <c r="R34" s="91" t="s">
        <v>93</v>
      </c>
      <c r="S34" s="4">
        <v>3</v>
      </c>
      <c r="T34" s="5" t="s">
        <v>114</v>
      </c>
      <c r="U34" s="6">
        <v>85</v>
      </c>
      <c r="V34" s="1"/>
      <c r="W34" s="2"/>
    </row>
    <row r="35" spans="1:23" ht="30.75">
      <c r="A35" s="4">
        <v>4</v>
      </c>
      <c r="B35" s="5" t="s">
        <v>158</v>
      </c>
      <c r="C35" s="6">
        <v>80</v>
      </c>
      <c r="D35" s="1"/>
      <c r="E35" s="2"/>
      <c r="F35" s="91" t="s">
        <v>93</v>
      </c>
      <c r="G35" s="4">
        <v>4</v>
      </c>
      <c r="H35" s="5" t="s">
        <v>158</v>
      </c>
      <c r="I35" s="6">
        <v>80</v>
      </c>
      <c r="J35" s="1"/>
      <c r="K35" s="2"/>
      <c r="M35" s="4">
        <v>4</v>
      </c>
      <c r="N35" s="5" t="s">
        <v>116</v>
      </c>
      <c r="O35" s="6">
        <f>[1]週菜單!U25</f>
        <v>0</v>
      </c>
      <c r="P35" s="1"/>
      <c r="Q35" s="2"/>
      <c r="R35" s="91" t="s">
        <v>93</v>
      </c>
      <c r="S35" s="4">
        <v>4</v>
      </c>
      <c r="T35" s="5" t="s">
        <v>116</v>
      </c>
      <c r="U35" s="6">
        <v>80</v>
      </c>
      <c r="V35" s="1"/>
      <c r="W35" s="2"/>
    </row>
    <row r="36" spans="1:23" ht="30.75">
      <c r="A36" s="4">
        <v>5</v>
      </c>
      <c r="B36" s="5" t="s">
        <v>281</v>
      </c>
      <c r="C36" s="6">
        <v>80</v>
      </c>
      <c r="D36" s="1"/>
      <c r="E36" s="2"/>
      <c r="F36" s="91" t="s">
        <v>93</v>
      </c>
      <c r="G36" s="4">
        <v>5</v>
      </c>
      <c r="H36" s="5" t="s">
        <v>281</v>
      </c>
      <c r="I36" s="6">
        <v>80</v>
      </c>
      <c r="J36" s="1"/>
      <c r="K36" s="2"/>
      <c r="M36" s="4">
        <v>5</v>
      </c>
      <c r="N36" s="5" t="s">
        <v>118</v>
      </c>
      <c r="O36" s="6">
        <f>[1]週菜單!U38</f>
        <v>0</v>
      </c>
      <c r="P36" s="1"/>
      <c r="Q36" s="2"/>
      <c r="R36" s="91" t="s">
        <v>93</v>
      </c>
      <c r="S36" s="4">
        <v>5</v>
      </c>
      <c r="T36" s="5" t="s">
        <v>118</v>
      </c>
      <c r="U36" s="6">
        <v>80</v>
      </c>
      <c r="V36" s="1"/>
      <c r="W36" s="2"/>
    </row>
    <row r="37" spans="1:23" ht="30.75">
      <c r="A37" s="4">
        <v>6</v>
      </c>
      <c r="B37" s="5" t="s">
        <v>111</v>
      </c>
      <c r="C37" s="6">
        <v>85</v>
      </c>
      <c r="D37" s="1"/>
      <c r="E37" s="2"/>
      <c r="F37" s="91" t="s">
        <v>93</v>
      </c>
      <c r="G37" s="4">
        <v>6</v>
      </c>
      <c r="H37" s="5" t="s">
        <v>111</v>
      </c>
      <c r="I37" s="6">
        <v>85</v>
      </c>
      <c r="J37" s="1"/>
      <c r="K37" s="2"/>
      <c r="M37" s="114"/>
      <c r="N37" s="115"/>
      <c r="O37" s="116"/>
      <c r="P37" s="3"/>
      <c r="Q37" s="117"/>
      <c r="R37" s="91"/>
      <c r="S37" s="114"/>
      <c r="T37" s="115"/>
      <c r="U37" s="116"/>
      <c r="V37" s="3"/>
      <c r="W37" s="117"/>
    </row>
    <row r="38" spans="1:23" ht="31.15" thickBot="1">
      <c r="A38" s="178">
        <f>A30+1</f>
        <v>45982</v>
      </c>
      <c r="B38" s="179"/>
      <c r="C38" s="179"/>
      <c r="D38" s="170">
        <f>A38</f>
        <v>45982</v>
      </c>
      <c r="E38" s="171"/>
      <c r="F38" s="91" t="s">
        <v>93</v>
      </c>
      <c r="G38" s="180">
        <f>A38</f>
        <v>45982</v>
      </c>
      <c r="H38" s="181"/>
      <c r="I38" s="181"/>
      <c r="J38" s="182">
        <f>D38</f>
        <v>45982</v>
      </c>
      <c r="K38" s="183"/>
      <c r="M38" s="178"/>
      <c r="N38" s="179"/>
      <c r="O38" s="179"/>
      <c r="P38" s="170">
        <f>M38</f>
        <v>0</v>
      </c>
      <c r="Q38" s="171"/>
      <c r="R38" s="91" t="s">
        <v>93</v>
      </c>
      <c r="S38" s="172"/>
      <c r="T38" s="173"/>
      <c r="U38" s="173"/>
      <c r="V38" s="174">
        <f>P38</f>
        <v>0</v>
      </c>
      <c r="W38" s="175"/>
    </row>
    <row r="39" spans="1:23" ht="30.75">
      <c r="A39" s="176" t="s">
        <v>0</v>
      </c>
      <c r="B39" s="177"/>
      <c r="C39" s="92" t="s">
        <v>98</v>
      </c>
      <c r="D39" s="93" t="s">
        <v>1</v>
      </c>
      <c r="E39" s="94" t="s">
        <v>99</v>
      </c>
      <c r="F39" s="91" t="s">
        <v>93</v>
      </c>
      <c r="G39" s="176" t="s">
        <v>0</v>
      </c>
      <c r="H39" s="177"/>
      <c r="I39" s="92" t="s">
        <v>98</v>
      </c>
      <c r="J39" s="93" t="s">
        <v>100</v>
      </c>
      <c r="K39" s="94" t="s">
        <v>99</v>
      </c>
      <c r="M39" s="176" t="s">
        <v>0</v>
      </c>
      <c r="N39" s="177"/>
      <c r="O39" s="92" t="s">
        <v>98</v>
      </c>
      <c r="P39" s="93" t="s">
        <v>1</v>
      </c>
      <c r="Q39" s="94" t="s">
        <v>99</v>
      </c>
      <c r="R39" s="91" t="s">
        <v>93</v>
      </c>
      <c r="S39" s="176" t="s">
        <v>0</v>
      </c>
      <c r="T39" s="177"/>
      <c r="U39" s="92" t="s">
        <v>98</v>
      </c>
      <c r="V39" s="93" t="s">
        <v>1</v>
      </c>
      <c r="W39" s="94" t="s">
        <v>99</v>
      </c>
    </row>
    <row r="40" spans="1:23" ht="30.75">
      <c r="A40" s="4">
        <v>1</v>
      </c>
      <c r="B40" s="5" t="s">
        <v>61</v>
      </c>
      <c r="C40" s="6">
        <v>110</v>
      </c>
      <c r="D40" s="1"/>
      <c r="E40" s="2"/>
      <c r="F40" s="91" t="s">
        <v>93</v>
      </c>
      <c r="G40" s="4">
        <v>1</v>
      </c>
      <c r="H40" s="5" t="s">
        <v>61</v>
      </c>
      <c r="I40" s="6">
        <v>110</v>
      </c>
      <c r="J40" s="1"/>
      <c r="K40" s="2"/>
      <c r="M40" s="4">
        <v>1</v>
      </c>
      <c r="N40" s="5"/>
      <c r="O40" s="6">
        <f>[1]週菜單!AA21</f>
        <v>0</v>
      </c>
      <c r="P40" s="1"/>
      <c r="Q40" s="2"/>
      <c r="R40" s="91" t="s">
        <v>93</v>
      </c>
      <c r="S40" s="4">
        <v>1</v>
      </c>
      <c r="T40" s="5"/>
      <c r="U40" s="6">
        <v>110</v>
      </c>
      <c r="V40" s="1"/>
      <c r="W40" s="2"/>
    </row>
    <row r="41" spans="1:23" ht="30.75">
      <c r="A41" s="4">
        <v>2</v>
      </c>
      <c r="B41" s="5" t="s">
        <v>103</v>
      </c>
      <c r="C41" s="6">
        <v>85</v>
      </c>
      <c r="D41" s="1"/>
      <c r="E41" s="2"/>
      <c r="F41" s="91" t="s">
        <v>93</v>
      </c>
      <c r="G41" s="4">
        <v>2</v>
      </c>
      <c r="H41" s="5" t="s">
        <v>103</v>
      </c>
      <c r="I41" s="6">
        <v>85</v>
      </c>
      <c r="J41" s="1"/>
      <c r="K41" s="2"/>
      <c r="M41" s="4">
        <v>2</v>
      </c>
      <c r="N41" s="5"/>
      <c r="O41" s="6">
        <f>[1]週菜單!AA22</f>
        <v>80</v>
      </c>
      <c r="P41" s="1"/>
      <c r="Q41" s="2"/>
      <c r="R41" s="91" t="s">
        <v>93</v>
      </c>
      <c r="S41" s="4">
        <v>2</v>
      </c>
      <c r="T41" s="5"/>
      <c r="U41" s="6">
        <v>85</v>
      </c>
      <c r="V41" s="1"/>
      <c r="W41" s="2"/>
    </row>
    <row r="42" spans="1:23" ht="30.75">
      <c r="A42" s="4">
        <v>3</v>
      </c>
      <c r="B42" s="5" t="s">
        <v>423</v>
      </c>
      <c r="C42" s="6">
        <v>85</v>
      </c>
      <c r="D42" s="1"/>
      <c r="E42" s="2"/>
      <c r="F42" s="91" t="s">
        <v>93</v>
      </c>
      <c r="G42" s="4">
        <v>3</v>
      </c>
      <c r="H42" s="5" t="s">
        <v>423</v>
      </c>
      <c r="I42" s="6">
        <v>85</v>
      </c>
      <c r="J42" s="1"/>
      <c r="K42" s="2"/>
      <c r="M42" s="4">
        <v>3</v>
      </c>
      <c r="N42" s="5"/>
      <c r="O42" s="6">
        <f>[1]週菜單!AA23</f>
        <v>80</v>
      </c>
      <c r="P42" s="1"/>
      <c r="Q42" s="2"/>
      <c r="R42" s="91" t="s">
        <v>93</v>
      </c>
      <c r="S42" s="4">
        <v>3</v>
      </c>
      <c r="T42" s="5"/>
      <c r="U42" s="6">
        <v>85</v>
      </c>
      <c r="V42" s="1"/>
      <c r="W42" s="2"/>
    </row>
    <row r="43" spans="1:23" ht="30.75">
      <c r="A43" s="4">
        <v>4</v>
      </c>
      <c r="B43" s="5" t="s">
        <v>321</v>
      </c>
      <c r="C43" s="6">
        <v>80</v>
      </c>
      <c r="D43" s="1"/>
      <c r="E43" s="2"/>
      <c r="F43" s="91" t="s">
        <v>93</v>
      </c>
      <c r="G43" s="4">
        <v>4</v>
      </c>
      <c r="H43" s="5" t="s">
        <v>321</v>
      </c>
      <c r="I43" s="6">
        <v>80</v>
      </c>
      <c r="J43" s="1"/>
      <c r="K43" s="2"/>
      <c r="M43" s="4">
        <v>4</v>
      </c>
      <c r="N43" s="5"/>
      <c r="O43" s="6">
        <v>80</v>
      </c>
      <c r="P43" s="1"/>
      <c r="Q43" s="2"/>
      <c r="R43" s="91" t="s">
        <v>93</v>
      </c>
      <c r="S43" s="4">
        <v>4</v>
      </c>
      <c r="T43" s="5"/>
      <c r="U43" s="6">
        <v>80</v>
      </c>
      <c r="V43" s="1"/>
      <c r="W43" s="2"/>
    </row>
    <row r="44" spans="1:23" ht="30.75">
      <c r="A44" s="4">
        <v>5</v>
      </c>
      <c r="B44" s="5" t="s">
        <v>283</v>
      </c>
      <c r="C44" s="6">
        <v>80</v>
      </c>
      <c r="D44" s="1"/>
      <c r="E44" s="2"/>
      <c r="F44" s="91" t="s">
        <v>93</v>
      </c>
      <c r="G44" s="4">
        <v>5</v>
      </c>
      <c r="H44" s="5" t="s">
        <v>283</v>
      </c>
      <c r="I44" s="6">
        <v>80</v>
      </c>
      <c r="J44" s="1"/>
      <c r="K44" s="2"/>
      <c r="M44" s="4">
        <v>5</v>
      </c>
      <c r="N44" s="5"/>
      <c r="O44" s="6">
        <v>80</v>
      </c>
      <c r="P44" s="1"/>
      <c r="Q44" s="2"/>
      <c r="R44" s="91" t="s">
        <v>93</v>
      </c>
      <c r="S44" s="4">
        <v>5</v>
      </c>
      <c r="T44" s="5"/>
      <c r="U44" s="6">
        <v>80</v>
      </c>
      <c r="V44" s="1"/>
      <c r="W44" s="2"/>
    </row>
    <row r="45" spans="1:23" ht="30.75">
      <c r="A45" s="4">
        <v>6</v>
      </c>
      <c r="B45" s="5" t="s">
        <v>41</v>
      </c>
      <c r="C45" s="6">
        <v>85</v>
      </c>
      <c r="D45" s="1"/>
      <c r="E45" s="2"/>
      <c r="F45" s="91" t="s">
        <v>93</v>
      </c>
      <c r="G45" s="4">
        <v>6</v>
      </c>
      <c r="H45" s="5" t="s">
        <v>41</v>
      </c>
      <c r="I45" s="6">
        <v>85</v>
      </c>
      <c r="J45" s="1"/>
      <c r="K45" s="2"/>
      <c r="M45" s="114"/>
      <c r="N45" s="115"/>
      <c r="O45" s="116"/>
      <c r="P45" s="3"/>
      <c r="Q45" s="117"/>
      <c r="R45" s="91"/>
      <c r="S45" s="114"/>
      <c r="T45" s="115"/>
      <c r="U45" s="116"/>
      <c r="V45" s="3"/>
      <c r="W45" s="117"/>
    </row>
    <row r="46" spans="1:23" ht="31.15" thickBot="1">
      <c r="A46" s="184" t="s">
        <v>2</v>
      </c>
      <c r="B46" s="185"/>
      <c r="C46" s="96"/>
      <c r="D46" s="97"/>
      <c r="E46" s="98"/>
      <c r="F46" s="91" t="s">
        <v>93</v>
      </c>
      <c r="G46" s="184" t="s">
        <v>2</v>
      </c>
      <c r="H46" s="185"/>
      <c r="I46" s="96"/>
      <c r="J46" s="97"/>
      <c r="K46" s="98"/>
      <c r="M46" s="184" t="s">
        <v>2</v>
      </c>
      <c r="N46" s="185"/>
      <c r="O46" s="96"/>
      <c r="P46" s="97"/>
      <c r="Q46" s="98"/>
      <c r="R46" s="91" t="s">
        <v>93</v>
      </c>
      <c r="S46" s="184" t="s">
        <v>2</v>
      </c>
      <c r="T46" s="185"/>
      <c r="U46" s="96"/>
      <c r="V46" s="97"/>
      <c r="W46" s="98"/>
    </row>
  </sheetData>
  <mergeCells count="84">
    <mergeCell ref="A46:B46"/>
    <mergeCell ref="G46:H46"/>
    <mergeCell ref="M46:N46"/>
    <mergeCell ref="S46:T46"/>
    <mergeCell ref="S38:U38"/>
    <mergeCell ref="V38:W38"/>
    <mergeCell ref="A39:B39"/>
    <mergeCell ref="G39:H39"/>
    <mergeCell ref="M39:N39"/>
    <mergeCell ref="S39:T39"/>
    <mergeCell ref="A38:C38"/>
    <mergeCell ref="D38:E38"/>
    <mergeCell ref="G38:I38"/>
    <mergeCell ref="J38:K38"/>
    <mergeCell ref="M38:O38"/>
    <mergeCell ref="P38:Q38"/>
    <mergeCell ref="S30:U30"/>
    <mergeCell ref="V30:W30"/>
    <mergeCell ref="A31:B31"/>
    <mergeCell ref="G31:H31"/>
    <mergeCell ref="M31:N31"/>
    <mergeCell ref="S31:T31"/>
    <mergeCell ref="A30:C30"/>
    <mergeCell ref="D30:E30"/>
    <mergeCell ref="G30:I30"/>
    <mergeCell ref="J30:K30"/>
    <mergeCell ref="M30:O30"/>
    <mergeCell ref="P30:Q30"/>
    <mergeCell ref="S22:U22"/>
    <mergeCell ref="V22:W22"/>
    <mergeCell ref="A23:B23"/>
    <mergeCell ref="G23:H23"/>
    <mergeCell ref="M23:N23"/>
    <mergeCell ref="S23:T23"/>
    <mergeCell ref="A22:C22"/>
    <mergeCell ref="D22:E22"/>
    <mergeCell ref="G22:I22"/>
    <mergeCell ref="J22:K22"/>
    <mergeCell ref="M22:O22"/>
    <mergeCell ref="P22:Q22"/>
    <mergeCell ref="P14:Q14"/>
    <mergeCell ref="S14:U14"/>
    <mergeCell ref="V14:W14"/>
    <mergeCell ref="A15:B15"/>
    <mergeCell ref="G15:H15"/>
    <mergeCell ref="M15:N15"/>
    <mergeCell ref="S15:T15"/>
    <mergeCell ref="A14:C14"/>
    <mergeCell ref="D14:E14"/>
    <mergeCell ref="G14:I14"/>
    <mergeCell ref="J14:K14"/>
    <mergeCell ref="M14:O14"/>
    <mergeCell ref="P6:Q6"/>
    <mergeCell ref="S6:U6"/>
    <mergeCell ref="V6:W6"/>
    <mergeCell ref="A7:B7"/>
    <mergeCell ref="G7:H7"/>
    <mergeCell ref="M7:N7"/>
    <mergeCell ref="S7:T7"/>
    <mergeCell ref="A6:C6"/>
    <mergeCell ref="D6:E6"/>
    <mergeCell ref="G6:I6"/>
    <mergeCell ref="J6:K6"/>
    <mergeCell ref="M6:O6"/>
    <mergeCell ref="A4:E4"/>
    <mergeCell ref="G4:K4"/>
    <mergeCell ref="M4:Q4"/>
    <mergeCell ref="S4:W4"/>
    <mergeCell ref="A5:C5"/>
    <mergeCell ref="D5:E5"/>
    <mergeCell ref="G5:I5"/>
    <mergeCell ref="J5:K5"/>
    <mergeCell ref="M5:O5"/>
    <mergeCell ref="P5:Q5"/>
    <mergeCell ref="S5:U5"/>
    <mergeCell ref="V5:W5"/>
    <mergeCell ref="A1:K1"/>
    <mergeCell ref="M1:W1"/>
    <mergeCell ref="A2:K2"/>
    <mergeCell ref="M2:W2"/>
    <mergeCell ref="A3:E3"/>
    <mergeCell ref="G3:K3"/>
    <mergeCell ref="M3:Q3"/>
    <mergeCell ref="S3:W3"/>
  </mergeCells>
  <phoneticPr fontId="1" type="noConversion"/>
  <printOptions horizontalCentered="1" verticalCentered="1"/>
  <pageMargins left="0" right="0" top="0.15748031496062992" bottom="0.15748031496062992" header="0.31496062992125984" footer="0.31496062992125984"/>
  <pageSetup paperSize="9" scale="59" fitToWidth="0" orientation="portrait" r:id="rId1"/>
  <colBreaks count="1" manualBreakCount="1">
    <brk id="11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28"/>
  <sheetViews>
    <sheetView tabSelected="1" topLeftCell="A4" zoomScale="53" zoomScaleNormal="53" zoomScaleSheetLayoutView="57" workbookViewId="0">
      <selection activeCell="Q15" sqref="Q15"/>
    </sheetView>
  </sheetViews>
  <sheetFormatPr defaultColWidth="25.59765625" defaultRowHeight="28.15"/>
  <cols>
    <col min="1" max="1" width="4.1328125" style="8" customWidth="1"/>
    <col min="2" max="2" width="19.59765625" style="18" customWidth="1"/>
    <col min="3" max="3" width="6.59765625" style="19" customWidth="1"/>
    <col min="4" max="5" width="5.59765625" style="19" customWidth="1"/>
    <col min="6" max="6" width="3.59765625" style="19" customWidth="1"/>
    <col min="7" max="7" width="4.1328125" style="19" customWidth="1"/>
    <col min="8" max="8" width="19.59765625" style="18" customWidth="1"/>
    <col min="9" max="9" width="6.59765625" style="19" customWidth="1"/>
    <col min="10" max="10" width="5.59765625" style="19" customWidth="1"/>
    <col min="11" max="11" width="5.59765625" style="84" customWidth="1"/>
    <col min="12" max="12" width="3.59765625" style="19" customWidth="1"/>
    <col min="13" max="13" width="4.1328125" style="19" customWidth="1"/>
    <col min="14" max="14" width="19.59765625" style="18" customWidth="1"/>
    <col min="15" max="15" width="6.59765625" style="19" customWidth="1"/>
    <col min="16" max="16" width="5.59765625" style="19" customWidth="1"/>
    <col min="17" max="17" width="5.59765625" style="84" customWidth="1"/>
    <col min="18" max="18" width="3.59765625" style="19" customWidth="1"/>
    <col min="19" max="19" width="4.1328125" style="19" customWidth="1"/>
    <col min="20" max="20" width="19.59765625" style="18" customWidth="1"/>
    <col min="21" max="21" width="6.59765625" style="19" customWidth="1"/>
    <col min="22" max="22" width="5.59765625" style="19" customWidth="1"/>
    <col min="23" max="23" width="5.59765625" style="84" customWidth="1"/>
    <col min="24" max="24" width="3.59765625" style="19" customWidth="1"/>
    <col min="25" max="25" width="4.1328125" style="19" customWidth="1"/>
    <col min="26" max="26" width="19.59765625" style="18" customWidth="1"/>
    <col min="27" max="27" width="6.59765625" style="19" customWidth="1"/>
    <col min="28" max="28" width="5.59765625" style="19" customWidth="1"/>
    <col min="29" max="29" width="5.59765625" style="84" customWidth="1"/>
    <col min="30" max="30" width="3.59765625" style="19" customWidth="1"/>
    <col min="31" max="31" width="6.59765625" style="19" hidden="1" customWidth="1"/>
    <col min="32" max="32" width="14.265625" style="18" hidden="1" customWidth="1"/>
    <col min="33" max="33" width="6.46484375" style="19" hidden="1" customWidth="1"/>
    <col min="34" max="34" width="17.1328125" style="7" customWidth="1"/>
    <col min="35" max="16384" width="25.59765625" style="8"/>
  </cols>
  <sheetData>
    <row r="1" spans="1:45" ht="54" customHeight="1" thickBot="1">
      <c r="A1" s="186" t="s">
        <v>62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45"/>
      <c r="AC1" s="85"/>
      <c r="AD1" s="45"/>
      <c r="AE1" s="45"/>
      <c r="AF1" s="45"/>
      <c r="AG1" s="4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ht="61.5" customHeight="1" thickBot="1">
      <c r="A2" s="23"/>
      <c r="B2" s="23"/>
      <c r="C2" s="23"/>
      <c r="D2" s="23"/>
      <c r="E2" s="23"/>
      <c r="F2" s="23"/>
      <c r="G2" s="23"/>
      <c r="H2" s="207" t="s">
        <v>60</v>
      </c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9"/>
      <c r="AE2" s="46"/>
      <c r="AF2" s="46"/>
      <c r="AG2" s="46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7.5" customHeight="1" thickBot="1">
      <c r="A3" s="23"/>
      <c r="B3" s="23"/>
      <c r="C3" s="23"/>
      <c r="D3" s="23"/>
      <c r="E3" s="23"/>
      <c r="F3" s="23"/>
      <c r="G3" s="23"/>
      <c r="H3" s="23"/>
      <c r="I3" s="23"/>
      <c r="J3" s="23"/>
      <c r="K3" s="77"/>
      <c r="L3" s="23"/>
      <c r="M3" s="23"/>
      <c r="N3" s="23"/>
      <c r="O3" s="23"/>
      <c r="P3" s="23"/>
      <c r="Q3" s="77"/>
      <c r="R3" s="23"/>
      <c r="S3" s="23"/>
      <c r="T3" s="23"/>
      <c r="U3" s="23"/>
      <c r="V3" s="23"/>
      <c r="W3" s="77"/>
      <c r="X3" s="23"/>
      <c r="Y3" s="23"/>
      <c r="Z3" s="23"/>
      <c r="AA3" s="23"/>
      <c r="AB3" s="23"/>
      <c r="AC3" s="77"/>
      <c r="AD3" s="23"/>
      <c r="AE3" s="23"/>
      <c r="AF3" s="23"/>
      <c r="AG3" s="23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 spans="1:45" s="10" customFormat="1" ht="24.75" customHeight="1">
      <c r="A4" s="195">
        <v>45978</v>
      </c>
      <c r="B4" s="196"/>
      <c r="C4" s="196"/>
      <c r="D4" s="196"/>
      <c r="E4" s="196"/>
      <c r="F4" s="197"/>
      <c r="G4" s="195">
        <f>A4+1</f>
        <v>45979</v>
      </c>
      <c r="H4" s="196"/>
      <c r="I4" s="196"/>
      <c r="J4" s="196"/>
      <c r="K4" s="196"/>
      <c r="L4" s="197"/>
      <c r="M4" s="195">
        <f>G4+1</f>
        <v>45980</v>
      </c>
      <c r="N4" s="196"/>
      <c r="O4" s="196"/>
      <c r="P4" s="196"/>
      <c r="Q4" s="196"/>
      <c r="R4" s="197"/>
      <c r="S4" s="195">
        <f>M4+1</f>
        <v>45981</v>
      </c>
      <c r="T4" s="196"/>
      <c r="U4" s="196"/>
      <c r="V4" s="196"/>
      <c r="W4" s="196"/>
      <c r="X4" s="197"/>
      <c r="Y4" s="195">
        <f>S4+1</f>
        <v>45982</v>
      </c>
      <c r="Z4" s="196"/>
      <c r="AA4" s="196"/>
      <c r="AB4" s="196"/>
      <c r="AC4" s="196"/>
      <c r="AD4" s="197"/>
      <c r="AE4" s="187">
        <f>Y4+1</f>
        <v>45983</v>
      </c>
      <c r="AF4" s="188"/>
      <c r="AG4" s="189"/>
      <c r="AH4" s="9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spans="1:45" s="12" customFormat="1" ht="22.5" customHeight="1" thickBot="1">
      <c r="A5" s="198">
        <f>A4</f>
        <v>45978</v>
      </c>
      <c r="B5" s="199"/>
      <c r="C5" s="199"/>
      <c r="D5" s="199"/>
      <c r="E5" s="199"/>
      <c r="F5" s="200"/>
      <c r="G5" s="198">
        <f>G4</f>
        <v>45979</v>
      </c>
      <c r="H5" s="199"/>
      <c r="I5" s="199"/>
      <c r="J5" s="199"/>
      <c r="K5" s="199"/>
      <c r="L5" s="200"/>
      <c r="M5" s="198">
        <f>M4</f>
        <v>45980</v>
      </c>
      <c r="N5" s="199"/>
      <c r="O5" s="199"/>
      <c r="P5" s="199"/>
      <c r="Q5" s="199"/>
      <c r="R5" s="200"/>
      <c r="S5" s="198">
        <f>S4</f>
        <v>45981</v>
      </c>
      <c r="T5" s="199"/>
      <c r="U5" s="199"/>
      <c r="V5" s="199"/>
      <c r="W5" s="199"/>
      <c r="X5" s="200"/>
      <c r="Y5" s="198">
        <f>Y4</f>
        <v>45982</v>
      </c>
      <c r="Z5" s="199"/>
      <c r="AA5" s="199"/>
      <c r="AB5" s="199"/>
      <c r="AC5" s="199"/>
      <c r="AD5" s="200"/>
      <c r="AE5" s="190">
        <f>AE4</f>
        <v>45983</v>
      </c>
      <c r="AF5" s="191"/>
      <c r="AG5" s="192"/>
      <c r="AH5" s="11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ht="38.25" customHeight="1" thickBot="1">
      <c r="A6" s="54" t="s">
        <v>56</v>
      </c>
      <c r="B6" s="56" t="s">
        <v>58</v>
      </c>
      <c r="C6" s="56" t="s">
        <v>57</v>
      </c>
      <c r="D6" s="55" t="s">
        <v>59</v>
      </c>
      <c r="E6" s="78" t="s">
        <v>81</v>
      </c>
      <c r="F6" s="75" t="s">
        <v>123</v>
      </c>
      <c r="G6" s="54" t="s">
        <v>56</v>
      </c>
      <c r="H6" s="56" t="s">
        <v>58</v>
      </c>
      <c r="I6" s="56" t="s">
        <v>57</v>
      </c>
      <c r="J6" s="55" t="s">
        <v>59</v>
      </c>
      <c r="K6" s="78" t="s">
        <v>81</v>
      </c>
      <c r="L6" s="75" t="s">
        <v>123</v>
      </c>
      <c r="M6" s="54" t="s">
        <v>56</v>
      </c>
      <c r="N6" s="56" t="s">
        <v>58</v>
      </c>
      <c r="O6" s="56" t="s">
        <v>57</v>
      </c>
      <c r="P6" s="55" t="s">
        <v>59</v>
      </c>
      <c r="Q6" s="78" t="s">
        <v>81</v>
      </c>
      <c r="R6" s="75" t="s">
        <v>123</v>
      </c>
      <c r="S6" s="54" t="s">
        <v>56</v>
      </c>
      <c r="T6" s="56" t="s">
        <v>58</v>
      </c>
      <c r="U6" s="56" t="s">
        <v>57</v>
      </c>
      <c r="V6" s="55" t="s">
        <v>59</v>
      </c>
      <c r="W6" s="78" t="s">
        <v>81</v>
      </c>
      <c r="X6" s="75" t="s">
        <v>123</v>
      </c>
      <c r="Y6" s="54" t="s">
        <v>56</v>
      </c>
      <c r="Z6" s="56" t="s">
        <v>58</v>
      </c>
      <c r="AA6" s="56" t="s">
        <v>57</v>
      </c>
      <c r="AB6" s="55" t="s">
        <v>59</v>
      </c>
      <c r="AC6" s="78" t="s">
        <v>81</v>
      </c>
      <c r="AD6" s="75" t="s">
        <v>123</v>
      </c>
      <c r="AE6" s="43"/>
      <c r="AF6" s="43"/>
      <c r="AG6" s="43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s="15" customFormat="1" ht="42.95" customHeight="1">
      <c r="A7" s="99">
        <v>1</v>
      </c>
      <c r="B7" s="126" t="s">
        <v>61</v>
      </c>
      <c r="C7" s="70">
        <v>110</v>
      </c>
      <c r="D7" s="60"/>
      <c r="E7" s="128">
        <f>'1117'!J4</f>
        <v>838.5</v>
      </c>
      <c r="F7" s="119"/>
      <c r="G7" s="99">
        <v>1</v>
      </c>
      <c r="H7" s="126" t="s">
        <v>61</v>
      </c>
      <c r="I7" s="70">
        <v>110</v>
      </c>
      <c r="J7" s="60"/>
      <c r="K7" s="128">
        <f>'1117'!J12</f>
        <v>754.4</v>
      </c>
      <c r="L7" s="119"/>
      <c r="M7" s="99">
        <v>1</v>
      </c>
      <c r="N7" s="126" t="s">
        <v>61</v>
      </c>
      <c r="O7" s="70">
        <v>110</v>
      </c>
      <c r="P7" s="60"/>
      <c r="Q7" s="86">
        <f>'1117'!J20</f>
        <v>782.6</v>
      </c>
      <c r="R7" s="119"/>
      <c r="S7" s="99">
        <v>1</v>
      </c>
      <c r="T7" s="126" t="s">
        <v>61</v>
      </c>
      <c r="U7" s="70">
        <v>110</v>
      </c>
      <c r="V7" s="60"/>
      <c r="W7" s="86">
        <f>'1117'!J28</f>
        <v>772.9</v>
      </c>
      <c r="X7" s="119"/>
      <c r="Y7" s="99">
        <v>1</v>
      </c>
      <c r="Z7" s="126" t="s">
        <v>61</v>
      </c>
      <c r="AA7" s="70">
        <v>110</v>
      </c>
      <c r="AB7" s="60"/>
      <c r="AC7" s="86">
        <v>762.7</v>
      </c>
      <c r="AD7" s="119"/>
      <c r="AE7" s="51" t="s">
        <v>42</v>
      </c>
      <c r="AF7" s="38" t="s">
        <v>48</v>
      </c>
      <c r="AG7" s="39">
        <v>75</v>
      </c>
      <c r="AH7" s="7"/>
    </row>
    <row r="8" spans="1:45" s="15" customFormat="1" ht="42.95" customHeight="1">
      <c r="A8" s="100">
        <v>2</v>
      </c>
      <c r="B8" s="124" t="s">
        <v>441</v>
      </c>
      <c r="C8" s="71">
        <v>85</v>
      </c>
      <c r="D8" s="58" t="s">
        <v>88</v>
      </c>
      <c r="E8" s="87">
        <f>'1117'!J5</f>
        <v>718.3</v>
      </c>
      <c r="F8" s="118" t="str">
        <f>VLOOKUP(B8,簡餐資料庫!$A:$E,5,FALSE)</f>
        <v>H</v>
      </c>
      <c r="G8" s="100">
        <v>2</v>
      </c>
      <c r="H8" s="124" t="s">
        <v>468</v>
      </c>
      <c r="I8" s="71">
        <v>85</v>
      </c>
      <c r="J8" s="58" t="s">
        <v>87</v>
      </c>
      <c r="K8" s="87">
        <f>'1117'!J13</f>
        <v>640.79999999999995</v>
      </c>
      <c r="L8" s="118">
        <f>VLOOKUP(H8,簡餐資料庫!$A:$E,5,FALSE)</f>
        <v>0</v>
      </c>
      <c r="M8" s="100">
        <v>2</v>
      </c>
      <c r="N8" s="124" t="s">
        <v>451</v>
      </c>
      <c r="O8" s="71">
        <v>85</v>
      </c>
      <c r="P8" s="58" t="s">
        <v>89</v>
      </c>
      <c r="Q8" s="87">
        <f>'1117'!J21</f>
        <v>666.6</v>
      </c>
      <c r="R8" s="118" t="str">
        <f>VLOOKUP(N8,簡餐資料庫!$A:$E,5,FALSE)</f>
        <v>H</v>
      </c>
      <c r="S8" s="100">
        <v>2</v>
      </c>
      <c r="T8" s="124" t="s">
        <v>449</v>
      </c>
      <c r="U8" s="71">
        <v>85</v>
      </c>
      <c r="V8" s="58" t="s">
        <v>450</v>
      </c>
      <c r="W8" s="87">
        <f>'1117'!J29</f>
        <v>704.4</v>
      </c>
      <c r="X8" s="118" t="str">
        <f>VLOOKUP(T8,簡餐資料庫!$A:$E,5,FALSE)</f>
        <v>EFJ</v>
      </c>
      <c r="Y8" s="100">
        <v>2</v>
      </c>
      <c r="Z8" s="124" t="s">
        <v>461</v>
      </c>
      <c r="AA8" s="71">
        <v>85</v>
      </c>
      <c r="AB8" s="58" t="s">
        <v>444</v>
      </c>
      <c r="AC8" s="87">
        <v>721.7</v>
      </c>
      <c r="AD8" s="118" t="s">
        <v>125</v>
      </c>
      <c r="AE8" s="13" t="s">
        <v>42</v>
      </c>
      <c r="AF8" s="17" t="s">
        <v>49</v>
      </c>
      <c r="AG8" s="25">
        <v>75</v>
      </c>
      <c r="AH8" s="16"/>
    </row>
    <row r="9" spans="1:45" s="15" customFormat="1" ht="42.95" customHeight="1">
      <c r="A9" s="100">
        <v>3</v>
      </c>
      <c r="B9" s="124" t="s">
        <v>346</v>
      </c>
      <c r="C9" s="71">
        <v>85</v>
      </c>
      <c r="D9" s="58" t="s">
        <v>87</v>
      </c>
      <c r="E9" s="87">
        <f>'1117'!J6</f>
        <v>718</v>
      </c>
      <c r="F9" s="118" t="str">
        <f>VLOOKUP(B9,簡餐資料庫!$A:$E,5,FALSE)</f>
        <v>D</v>
      </c>
      <c r="G9" s="100">
        <v>3</v>
      </c>
      <c r="H9" s="124" t="s">
        <v>448</v>
      </c>
      <c r="I9" s="71">
        <v>85</v>
      </c>
      <c r="J9" s="58" t="s">
        <v>152</v>
      </c>
      <c r="K9" s="87">
        <f>'1117'!J14</f>
        <v>629.4</v>
      </c>
      <c r="L9" s="118">
        <f>VLOOKUP(H9,簡餐資料庫!$A:$E,5,FALSE)</f>
        <v>0</v>
      </c>
      <c r="M9" s="100">
        <v>3</v>
      </c>
      <c r="N9" s="124" t="s">
        <v>64</v>
      </c>
      <c r="O9" s="71">
        <v>85</v>
      </c>
      <c r="P9" s="58" t="s">
        <v>152</v>
      </c>
      <c r="Q9" s="87">
        <f>'1117'!J22</f>
        <v>664.5</v>
      </c>
      <c r="R9" s="118">
        <f>VLOOKUP(N9,簡餐資料庫!$A:$E,5,FALSE)</f>
        <v>0</v>
      </c>
      <c r="S9" s="102">
        <v>3</v>
      </c>
      <c r="T9" s="127" t="s">
        <v>469</v>
      </c>
      <c r="U9" s="74">
        <v>85</v>
      </c>
      <c r="V9" s="61" t="s">
        <v>470</v>
      </c>
      <c r="W9" s="90">
        <f>'1117'!J30</f>
        <v>657.2</v>
      </c>
      <c r="X9" s="118">
        <f>VLOOKUP(T9,簡餐資料庫!$A:$E,5,FALSE)</f>
        <v>0</v>
      </c>
      <c r="Y9" s="102">
        <v>3</v>
      </c>
      <c r="Z9" s="135" t="s">
        <v>363</v>
      </c>
      <c r="AA9" s="74">
        <v>85</v>
      </c>
      <c r="AB9" s="61" t="s">
        <v>223</v>
      </c>
      <c r="AC9" s="87">
        <v>681.1</v>
      </c>
      <c r="AD9" s="118"/>
      <c r="AE9" s="13" t="s">
        <v>42</v>
      </c>
      <c r="AF9" s="17" t="s">
        <v>50</v>
      </c>
      <c r="AG9" s="25">
        <v>70</v>
      </c>
      <c r="AH9" s="16"/>
    </row>
    <row r="10" spans="1:45" s="15" customFormat="1" ht="42.95" customHeight="1">
      <c r="A10" s="100">
        <v>4</v>
      </c>
      <c r="B10" s="130" t="s">
        <v>471</v>
      </c>
      <c r="C10" s="71">
        <v>85</v>
      </c>
      <c r="D10" s="58" t="s">
        <v>450</v>
      </c>
      <c r="E10" s="87">
        <f>'1117'!J7</f>
        <v>713.5</v>
      </c>
      <c r="F10" s="118">
        <f>VLOOKUP(B10,簡餐資料庫!$A:$E,5,FALSE)</f>
        <v>0</v>
      </c>
      <c r="G10" s="100">
        <v>4</v>
      </c>
      <c r="H10" s="101" t="s">
        <v>119</v>
      </c>
      <c r="I10" s="71">
        <v>85</v>
      </c>
      <c r="J10" s="58" t="s">
        <v>88</v>
      </c>
      <c r="K10" s="87">
        <f>'1117'!J15</f>
        <v>666.8</v>
      </c>
      <c r="L10" s="118" t="str">
        <f>VLOOKUP(H10,簡餐資料庫!$A:$E,5,FALSE)</f>
        <v>DH</v>
      </c>
      <c r="M10" s="100">
        <v>4</v>
      </c>
      <c r="N10" s="101" t="s">
        <v>452</v>
      </c>
      <c r="O10" s="71">
        <v>85</v>
      </c>
      <c r="P10" s="58" t="s">
        <v>87</v>
      </c>
      <c r="Q10" s="87">
        <f>'1117'!J23</f>
        <v>695</v>
      </c>
      <c r="R10" s="118" t="str">
        <f>VLOOKUP(N10,簡餐資料庫!$A:$E,5,FALSE)</f>
        <v>H</v>
      </c>
      <c r="S10" s="102">
        <v>4</v>
      </c>
      <c r="T10" s="129" t="s">
        <v>66</v>
      </c>
      <c r="U10" s="74">
        <v>85</v>
      </c>
      <c r="V10" s="61" t="s">
        <v>444</v>
      </c>
      <c r="W10" s="90">
        <f>'1117'!J31</f>
        <v>690.1</v>
      </c>
      <c r="X10" s="118">
        <f>VLOOKUP(T10,簡餐資料庫!$A:$E,5,FALSE)</f>
        <v>0</v>
      </c>
      <c r="Y10" s="102">
        <v>4</v>
      </c>
      <c r="Z10" s="127" t="s">
        <v>472</v>
      </c>
      <c r="AA10" s="74">
        <v>85</v>
      </c>
      <c r="AB10" s="61" t="s">
        <v>223</v>
      </c>
      <c r="AC10" s="87">
        <v>672.1</v>
      </c>
      <c r="AD10" s="118"/>
      <c r="AE10" s="13" t="s">
        <v>42</v>
      </c>
      <c r="AF10" s="17" t="s">
        <v>50</v>
      </c>
      <c r="AG10" s="25">
        <v>70</v>
      </c>
      <c r="AH10" s="16"/>
    </row>
    <row r="11" spans="1:45" s="15" customFormat="1" ht="42.95" customHeight="1" thickBot="1">
      <c r="A11" s="103">
        <v>5</v>
      </c>
      <c r="B11" s="125" t="s">
        <v>466</v>
      </c>
      <c r="C11" s="72">
        <v>80</v>
      </c>
      <c r="D11" s="40" t="s">
        <v>223</v>
      </c>
      <c r="E11" s="88">
        <f>'1117'!J8</f>
        <v>629.79999999999995</v>
      </c>
      <c r="F11" s="120" t="str">
        <f>VLOOKUP(B11,簡餐資料庫!$A:$E,5,FALSE)</f>
        <v>EJ</v>
      </c>
      <c r="G11" s="103">
        <v>5</v>
      </c>
      <c r="H11" s="125" t="s">
        <v>467</v>
      </c>
      <c r="I11" s="72">
        <v>120</v>
      </c>
      <c r="J11" s="40" t="s">
        <v>447</v>
      </c>
      <c r="K11" s="88">
        <f>'1117'!J16</f>
        <v>645.59999999999991</v>
      </c>
      <c r="L11" s="120" t="str">
        <f>VLOOKUP(H11,簡餐資料庫!$A:$E,5,FALSE)</f>
        <v>E</v>
      </c>
      <c r="M11" s="103">
        <v>5</v>
      </c>
      <c r="N11" s="125" t="s">
        <v>445</v>
      </c>
      <c r="O11" s="72">
        <v>80</v>
      </c>
      <c r="P11" s="40" t="s">
        <v>152</v>
      </c>
      <c r="Q11" s="88">
        <f>'1117'!J24</f>
        <v>563.6</v>
      </c>
      <c r="R11" s="120" t="str">
        <f>VLOOKUP(N11,簡餐資料庫!$A:$E,5,FALSE)</f>
        <v>EJ</v>
      </c>
      <c r="S11" s="103">
        <v>5</v>
      </c>
      <c r="T11" s="125" t="s">
        <v>446</v>
      </c>
      <c r="U11" s="72">
        <v>80</v>
      </c>
      <c r="V11" s="40" t="s">
        <v>159</v>
      </c>
      <c r="W11" s="88">
        <f>'1117'!J32</f>
        <v>656.5</v>
      </c>
      <c r="X11" s="120" t="str">
        <f>VLOOKUP(T11,簡餐資料庫!$A:$E,5,FALSE)</f>
        <v>H</v>
      </c>
      <c r="Y11" s="103">
        <v>5</v>
      </c>
      <c r="Z11" s="125" t="s">
        <v>321</v>
      </c>
      <c r="AA11" s="72">
        <v>80</v>
      </c>
      <c r="AB11" s="40" t="s">
        <v>447</v>
      </c>
      <c r="AC11" s="88">
        <v>563.79999999999995</v>
      </c>
      <c r="AD11" s="120" t="s">
        <v>322</v>
      </c>
      <c r="AE11" s="53" t="s">
        <v>42</v>
      </c>
      <c r="AF11" s="26" t="s">
        <v>41</v>
      </c>
      <c r="AG11" s="27">
        <v>75</v>
      </c>
      <c r="AH11" s="16"/>
    </row>
    <row r="12" spans="1:45" s="15" customFormat="1" ht="43.05" customHeight="1" thickBot="1">
      <c r="A12" s="136" t="s">
        <v>425</v>
      </c>
      <c r="B12" s="137" t="s">
        <v>426</v>
      </c>
      <c r="C12" s="138">
        <v>85</v>
      </c>
      <c r="D12" s="213" t="s">
        <v>427</v>
      </c>
      <c r="E12" s="213"/>
      <c r="F12" s="214"/>
      <c r="G12" s="139"/>
      <c r="H12" s="140"/>
      <c r="I12" s="141"/>
      <c r="J12" s="141"/>
      <c r="K12" s="142"/>
      <c r="L12" s="143"/>
      <c r="M12" s="139"/>
      <c r="N12" s="144"/>
      <c r="O12" s="141"/>
      <c r="P12" s="141"/>
      <c r="Q12" s="142"/>
      <c r="R12" s="143"/>
      <c r="S12" s="139"/>
      <c r="T12" s="144"/>
      <c r="U12" s="141"/>
      <c r="V12" s="141"/>
      <c r="W12" s="142"/>
      <c r="X12" s="143"/>
      <c r="Y12" s="139"/>
      <c r="Z12" s="144"/>
      <c r="AA12" s="141"/>
      <c r="AB12" s="141"/>
      <c r="AC12" s="142"/>
      <c r="AD12" s="143"/>
      <c r="AE12" s="13"/>
      <c r="AF12" s="20"/>
      <c r="AG12" s="14"/>
      <c r="AH12" s="16"/>
    </row>
    <row r="13" spans="1:45" s="15" customFormat="1" ht="20.100000000000001" customHeight="1" thickTop="1" thickBot="1">
      <c r="A13" s="121"/>
      <c r="B13" s="65" t="s">
        <v>3</v>
      </c>
      <c r="C13" s="122"/>
      <c r="D13" s="122"/>
      <c r="E13" s="122"/>
      <c r="F13" s="122"/>
      <c r="G13" s="121"/>
      <c r="H13" s="65" t="s">
        <v>3</v>
      </c>
      <c r="I13" s="122"/>
      <c r="J13" s="122"/>
      <c r="K13" s="122"/>
      <c r="L13" s="122"/>
      <c r="M13" s="121"/>
      <c r="N13" s="65" t="s">
        <v>3</v>
      </c>
      <c r="O13" s="122"/>
      <c r="P13" s="122"/>
      <c r="Q13" s="122"/>
      <c r="R13" s="122"/>
      <c r="S13" s="121"/>
      <c r="T13" s="65" t="s">
        <v>3</v>
      </c>
      <c r="U13" s="122"/>
      <c r="V13" s="122"/>
      <c r="W13" s="122"/>
      <c r="X13" s="123"/>
      <c r="Y13" s="121"/>
      <c r="Z13" s="65" t="s">
        <v>3</v>
      </c>
      <c r="AA13" s="122"/>
      <c r="AB13" s="122"/>
      <c r="AC13" s="122"/>
      <c r="AD13" s="123"/>
      <c r="AE13" s="193" t="s">
        <v>3</v>
      </c>
      <c r="AF13" s="193"/>
      <c r="AG13" s="194"/>
      <c r="AH13" s="16"/>
    </row>
    <row r="14" spans="1:45" s="15" customFormat="1" ht="42.95" customHeight="1" thickTop="1">
      <c r="A14" s="64"/>
      <c r="B14" s="65" t="s">
        <v>4</v>
      </c>
      <c r="C14" s="66"/>
      <c r="D14" s="66"/>
      <c r="E14" s="79"/>
      <c r="F14" s="69"/>
      <c r="G14" s="64"/>
      <c r="H14" s="65" t="s">
        <v>4</v>
      </c>
      <c r="I14" s="66"/>
      <c r="J14" s="66"/>
      <c r="K14" s="79"/>
      <c r="L14" s="69"/>
      <c r="M14" s="64"/>
      <c r="N14" s="65" t="s">
        <v>4</v>
      </c>
      <c r="O14" s="66"/>
      <c r="P14" s="66"/>
      <c r="Q14" s="79"/>
      <c r="R14" s="69"/>
      <c r="S14" s="64"/>
      <c r="T14" s="65" t="s">
        <v>4</v>
      </c>
      <c r="U14" s="66"/>
      <c r="V14" s="66"/>
      <c r="W14" s="79"/>
      <c r="X14" s="69"/>
      <c r="Y14" s="64"/>
      <c r="Z14" s="65" t="s">
        <v>464</v>
      </c>
      <c r="AA14" s="66"/>
      <c r="AB14" s="66"/>
      <c r="AC14" s="79"/>
      <c r="AD14" s="69"/>
      <c r="AE14" s="49"/>
      <c r="AF14" s="35" t="s">
        <v>4</v>
      </c>
      <c r="AG14" s="28"/>
      <c r="AH14" s="16"/>
    </row>
    <row r="15" spans="1:45" s="15" customFormat="1" ht="42.95" customHeight="1">
      <c r="A15" s="67"/>
      <c r="B15" s="57" t="s">
        <v>455</v>
      </c>
      <c r="C15" s="68"/>
      <c r="D15" s="68"/>
      <c r="E15" s="80"/>
      <c r="F15" s="118">
        <f>VLOOKUP(B15,簡餐資料庫!$A:$E,5,FALSE)</f>
        <v>0</v>
      </c>
      <c r="G15" s="67"/>
      <c r="H15" s="57" t="s">
        <v>74</v>
      </c>
      <c r="I15" s="68"/>
      <c r="J15" s="68"/>
      <c r="K15" s="80"/>
      <c r="L15" s="118">
        <f>VLOOKUP(H15,簡餐資料庫!$A:$E,5,FALSE)</f>
        <v>0</v>
      </c>
      <c r="M15" s="67"/>
      <c r="N15" s="76" t="s">
        <v>366</v>
      </c>
      <c r="O15" s="68"/>
      <c r="P15" s="68"/>
      <c r="Q15" s="80"/>
      <c r="R15" s="118" t="str">
        <f>VLOOKUP(N15,簡餐資料庫!$A:$E,5,FALSE)</f>
        <v>F</v>
      </c>
      <c r="S15" s="67"/>
      <c r="T15" s="57" t="s">
        <v>457</v>
      </c>
      <c r="U15" s="68"/>
      <c r="V15" s="68"/>
      <c r="W15" s="80"/>
      <c r="X15" s="118">
        <f>VLOOKUP(T15,簡餐資料庫!$A:$E,5,FALSE)</f>
        <v>0</v>
      </c>
      <c r="Y15" s="67"/>
      <c r="Z15" s="57" t="s">
        <v>475</v>
      </c>
      <c r="AA15" s="68"/>
      <c r="AB15" s="68"/>
      <c r="AC15" s="80"/>
      <c r="AD15" s="118" t="s">
        <v>127</v>
      </c>
      <c r="AE15" s="49"/>
      <c r="AF15" s="22" t="s">
        <v>51</v>
      </c>
      <c r="AG15" s="28"/>
      <c r="AH15" s="16"/>
    </row>
    <row r="16" spans="1:45" s="15" customFormat="1" ht="42.95" customHeight="1">
      <c r="A16" s="67"/>
      <c r="B16" s="57" t="s">
        <v>76</v>
      </c>
      <c r="C16" s="68"/>
      <c r="D16" s="68"/>
      <c r="E16" s="80"/>
      <c r="F16" s="118">
        <f>VLOOKUP(B16,簡餐資料庫!$A:$E,5,FALSE)</f>
        <v>0</v>
      </c>
      <c r="G16" s="67"/>
      <c r="H16" s="57" t="s">
        <v>458</v>
      </c>
      <c r="I16" s="68"/>
      <c r="J16" s="68"/>
      <c r="K16" s="80"/>
      <c r="L16" s="118">
        <f>VLOOKUP(H16,簡餐資料庫!$A:$E,5,FALSE)</f>
        <v>0</v>
      </c>
      <c r="M16" s="67"/>
      <c r="N16" s="57" t="s">
        <v>367</v>
      </c>
      <c r="O16" s="68"/>
      <c r="P16" s="68"/>
      <c r="Q16" s="80"/>
      <c r="R16" s="118" t="str">
        <f>VLOOKUP(N16,簡餐資料庫!$A:$E,5,FALSE)</f>
        <v>H</v>
      </c>
      <c r="S16" s="67"/>
      <c r="T16" s="57" t="s">
        <v>454</v>
      </c>
      <c r="U16" s="68"/>
      <c r="V16" s="68"/>
      <c r="W16" s="80"/>
      <c r="X16" s="118" t="str">
        <f>VLOOKUP(T16,簡餐資料庫!$A:$E,5,FALSE)</f>
        <v>F</v>
      </c>
      <c r="Y16" s="67"/>
      <c r="Z16" s="57" t="s">
        <v>476</v>
      </c>
      <c r="AA16" s="68"/>
      <c r="AB16" s="68"/>
      <c r="AC16" s="80"/>
      <c r="AD16" s="118"/>
      <c r="AE16" s="49"/>
      <c r="AF16" s="22" t="s">
        <v>52</v>
      </c>
      <c r="AG16" s="28"/>
      <c r="AH16" s="16"/>
    </row>
    <row r="17" spans="1:39" s="15" customFormat="1" ht="42.95" customHeight="1" thickBot="1">
      <c r="A17" s="29"/>
      <c r="B17" s="106" t="s">
        <v>460</v>
      </c>
      <c r="C17" s="50"/>
      <c r="D17" s="50"/>
      <c r="E17" s="81"/>
      <c r="F17" s="120" t="str">
        <f>VLOOKUP(B17,簡餐資料庫!$A:$E,5,FALSE)</f>
        <v>E</v>
      </c>
      <c r="G17" s="50"/>
      <c r="H17" s="106" t="s">
        <v>453</v>
      </c>
      <c r="I17" s="50"/>
      <c r="J17" s="50"/>
      <c r="K17" s="81"/>
      <c r="L17" s="120" t="str">
        <f>VLOOKUP(H17,簡餐資料庫!$A:$E,5,FALSE)</f>
        <v>F</v>
      </c>
      <c r="M17" s="50"/>
      <c r="N17" s="106" t="s">
        <v>368</v>
      </c>
      <c r="O17" s="50"/>
      <c r="P17" s="50"/>
      <c r="Q17" s="81"/>
      <c r="R17" s="120">
        <f>VLOOKUP(N17,簡餐資料庫!$A:$E,5,FALSE)</f>
        <v>0</v>
      </c>
      <c r="S17" s="50"/>
      <c r="T17" s="106" t="s">
        <v>474</v>
      </c>
      <c r="U17" s="50"/>
      <c r="V17" s="50"/>
      <c r="W17" s="81"/>
      <c r="X17" s="120">
        <f>VLOOKUP(T17,簡餐資料庫!$A:$E,5,FALSE)</f>
        <v>0</v>
      </c>
      <c r="Y17" s="50"/>
      <c r="Z17" s="106" t="s">
        <v>477</v>
      </c>
      <c r="AA17" s="50"/>
      <c r="AB17" s="50"/>
      <c r="AC17" s="81"/>
      <c r="AD17" s="120"/>
      <c r="AE17" s="49"/>
      <c r="AF17" s="22" t="s">
        <v>53</v>
      </c>
      <c r="AG17" s="28"/>
      <c r="AH17" s="16"/>
    </row>
    <row r="18" spans="1:39" s="15" customFormat="1" ht="42.95" hidden="1" customHeight="1" thickBot="1">
      <c r="A18" s="49"/>
      <c r="B18" s="107"/>
      <c r="C18" s="49"/>
      <c r="D18" s="49"/>
      <c r="E18" s="49"/>
      <c r="F18" s="52"/>
      <c r="G18" s="49"/>
      <c r="H18" s="108"/>
      <c r="I18" s="49"/>
      <c r="J18" s="49"/>
      <c r="K18" s="82"/>
      <c r="L18" s="52"/>
      <c r="M18" s="49"/>
      <c r="N18" s="108"/>
      <c r="O18" s="49"/>
      <c r="P18" s="49"/>
      <c r="Q18" s="82"/>
      <c r="R18" s="52"/>
      <c r="S18" s="49"/>
      <c r="T18" s="108"/>
      <c r="U18" s="49"/>
      <c r="V18" s="49"/>
      <c r="W18" s="82"/>
      <c r="X18" s="49"/>
      <c r="Y18" s="49"/>
      <c r="Z18" s="108"/>
      <c r="AA18" s="49"/>
      <c r="AB18" s="49"/>
      <c r="AC18" s="82"/>
      <c r="AD18" s="49"/>
      <c r="AE18" s="50"/>
      <c r="AF18" s="41" t="s">
        <v>54</v>
      </c>
      <c r="AG18" s="30"/>
      <c r="AH18" s="16"/>
    </row>
    <row r="19" spans="1:39" s="15" customFormat="1" ht="28.5" hidden="1" thickBot="1">
      <c r="A19" s="49"/>
      <c r="B19" s="109" t="s">
        <v>44</v>
      </c>
      <c r="C19" s="49"/>
      <c r="D19" s="49"/>
      <c r="E19" s="49"/>
      <c r="F19" s="52"/>
      <c r="G19" s="49"/>
      <c r="H19" s="107"/>
      <c r="I19" s="49"/>
      <c r="J19" s="49"/>
      <c r="K19" s="82"/>
      <c r="L19" s="52"/>
      <c r="M19" s="49"/>
      <c r="N19" s="107"/>
      <c r="O19" s="49"/>
      <c r="P19" s="49"/>
      <c r="Q19" s="82"/>
      <c r="R19" s="52"/>
      <c r="S19" s="49"/>
      <c r="T19" s="107"/>
      <c r="U19" s="49"/>
      <c r="V19" s="49"/>
      <c r="W19" s="82"/>
      <c r="X19" s="49"/>
      <c r="Y19" s="49"/>
      <c r="Z19" s="107"/>
      <c r="AA19" s="49"/>
      <c r="AB19" s="49"/>
      <c r="AC19" s="82"/>
      <c r="AD19" s="49"/>
      <c r="AE19" s="50"/>
      <c r="AF19" s="26"/>
      <c r="AG19" s="30"/>
      <c r="AH19" s="16"/>
    </row>
    <row r="20" spans="1:39" s="15" customFormat="1" hidden="1">
      <c r="A20" s="105"/>
      <c r="B20" s="107"/>
      <c r="C20" s="21"/>
      <c r="D20" s="21"/>
      <c r="E20" s="21"/>
      <c r="F20" s="21"/>
      <c r="G20" s="105"/>
      <c r="H20" s="107"/>
      <c r="I20" s="21"/>
      <c r="J20" s="21"/>
      <c r="K20" s="83"/>
      <c r="L20" s="21"/>
      <c r="M20" s="105"/>
      <c r="N20" s="107"/>
      <c r="O20" s="21"/>
      <c r="P20" s="21"/>
      <c r="Q20" s="83"/>
      <c r="R20" s="21"/>
      <c r="S20" s="105"/>
      <c r="T20" s="107"/>
      <c r="U20" s="21"/>
      <c r="V20" s="21"/>
      <c r="W20" s="83"/>
      <c r="X20" s="21"/>
      <c r="Y20" s="105"/>
      <c r="Z20" s="107"/>
      <c r="AA20" s="21"/>
      <c r="AB20" s="21"/>
      <c r="AC20" s="83"/>
      <c r="AD20" s="21"/>
      <c r="AE20" s="13"/>
      <c r="AF20" s="17"/>
      <c r="AG20" s="14"/>
      <c r="AH20" s="16"/>
    </row>
    <row r="21" spans="1:39" ht="15" customHeight="1" thickBo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1"/>
      <c r="L21" s="110"/>
      <c r="M21" s="110"/>
      <c r="N21" s="110"/>
      <c r="O21" s="110"/>
      <c r="P21" s="110"/>
      <c r="Q21" s="111"/>
      <c r="R21" s="110"/>
      <c r="S21" s="110"/>
      <c r="T21" s="110"/>
      <c r="U21" s="110"/>
      <c r="V21" s="110"/>
      <c r="W21" s="111"/>
      <c r="X21" s="110"/>
      <c r="Y21" s="110"/>
      <c r="Z21" s="110"/>
      <c r="AA21" s="110"/>
      <c r="AB21" s="110"/>
      <c r="AC21" s="111"/>
      <c r="AD21" s="110"/>
      <c r="AE21" s="44"/>
      <c r="AF21" s="44"/>
      <c r="AG21" s="44"/>
    </row>
    <row r="22" spans="1:39" s="15" customFormat="1" ht="42.95" customHeight="1">
      <c r="A22" s="112">
        <v>6</v>
      </c>
      <c r="B22" s="113" t="s">
        <v>353</v>
      </c>
      <c r="C22" s="73">
        <v>80</v>
      </c>
      <c r="D22" s="62"/>
      <c r="E22" s="89">
        <f>'1117'!J9</f>
        <v>546</v>
      </c>
      <c r="F22" s="63" t="str">
        <f>VLOOKUP(B22,麵食資料庫!$A:$E,5,FALSE)</f>
        <v>DEFH</v>
      </c>
      <c r="G22" s="112">
        <v>6</v>
      </c>
      <c r="H22" s="131" t="s">
        <v>395</v>
      </c>
      <c r="I22" s="73">
        <v>80</v>
      </c>
      <c r="J22" s="62"/>
      <c r="K22" s="89">
        <f>'1117'!J17</f>
        <v>527.79999999999995</v>
      </c>
      <c r="L22" s="63" t="str">
        <f>VLOOKUP(H22,麵食資料庫!$A:$E,5,FALSE)</f>
        <v>CDHJ</v>
      </c>
      <c r="M22" s="112">
        <v>6</v>
      </c>
      <c r="N22" s="113" t="s">
        <v>148</v>
      </c>
      <c r="O22" s="73">
        <v>80</v>
      </c>
      <c r="P22" s="62"/>
      <c r="Q22" s="89">
        <f>'1117'!J25</f>
        <v>546</v>
      </c>
      <c r="R22" s="63" t="str">
        <f>VLOOKUP(N22,麵食資料庫!$A:$E,5,FALSE)</f>
        <v>DH</v>
      </c>
      <c r="S22" s="112">
        <v>6</v>
      </c>
      <c r="T22" s="113" t="s">
        <v>320</v>
      </c>
      <c r="U22" s="73">
        <v>130</v>
      </c>
      <c r="V22" s="62"/>
      <c r="W22" s="89">
        <f>'1117'!J33</f>
        <v>511.9</v>
      </c>
      <c r="X22" s="132" t="str">
        <f>VLOOKUP(T22,麵食資料庫!$A:$E,5,FALSE)</f>
        <v>H</v>
      </c>
      <c r="Y22" s="112">
        <v>6</v>
      </c>
      <c r="Z22" s="131" t="s">
        <v>353</v>
      </c>
      <c r="AA22" s="73">
        <v>80</v>
      </c>
      <c r="AB22" s="62"/>
      <c r="AC22" s="89">
        <v>546</v>
      </c>
      <c r="AD22" s="63" t="s">
        <v>143</v>
      </c>
      <c r="AE22" s="51" t="s">
        <v>43</v>
      </c>
      <c r="AF22" s="42" t="s">
        <v>46</v>
      </c>
      <c r="AG22" s="39">
        <v>75</v>
      </c>
      <c r="AH22" s="16"/>
    </row>
    <row r="23" spans="1:39" s="15" customFormat="1" ht="42.95" customHeight="1">
      <c r="A23" s="100">
        <v>7</v>
      </c>
      <c r="B23" s="124" t="s">
        <v>481</v>
      </c>
      <c r="C23" s="71">
        <v>80</v>
      </c>
      <c r="D23" s="58"/>
      <c r="E23" s="87">
        <f>'1117'!J10</f>
        <v>572.70000000000005</v>
      </c>
      <c r="F23" s="59" t="str">
        <f>VLOOKUP(B23,麵食資料庫!$A:$E,5,FALSE)</f>
        <v>CEHJ</v>
      </c>
      <c r="G23" s="100">
        <v>7</v>
      </c>
      <c r="H23" s="101" t="s">
        <v>443</v>
      </c>
      <c r="I23" s="71">
        <v>80</v>
      </c>
      <c r="J23" s="58"/>
      <c r="K23" s="87">
        <f>'1117'!J18</f>
        <v>509.5</v>
      </c>
      <c r="L23" s="59" t="str">
        <f>VLOOKUP(H23,麵食資料庫!$A:$E,5,FALSE)</f>
        <v>DEH</v>
      </c>
      <c r="M23" s="100">
        <v>7</v>
      </c>
      <c r="N23" s="130" t="s">
        <v>45</v>
      </c>
      <c r="O23" s="71">
        <v>80</v>
      </c>
      <c r="P23" s="58"/>
      <c r="Q23" s="87">
        <f>'1117'!J26</f>
        <v>605.5</v>
      </c>
      <c r="R23" s="59" t="str">
        <f>VLOOKUP(N23,麵食資料庫!$A:$E,5,FALSE)</f>
        <v>H</v>
      </c>
      <c r="S23" s="100">
        <v>7</v>
      </c>
      <c r="T23" s="124" t="s">
        <v>439</v>
      </c>
      <c r="U23" s="71">
        <v>80</v>
      </c>
      <c r="V23" s="58"/>
      <c r="W23" s="87">
        <f>'1117'!J34</f>
        <v>435.9</v>
      </c>
      <c r="X23" s="59" t="str">
        <f>VLOOKUP(T23,麵食資料庫!$A:$E,5,FALSE)</f>
        <v>DEH</v>
      </c>
      <c r="Y23" s="100">
        <v>7</v>
      </c>
      <c r="Z23" s="130" t="s">
        <v>462</v>
      </c>
      <c r="AA23" s="71">
        <v>80</v>
      </c>
      <c r="AB23" s="58"/>
      <c r="AC23" s="87">
        <v>527.79999999999995</v>
      </c>
      <c r="AD23" s="59" t="s">
        <v>478</v>
      </c>
      <c r="AE23" s="13" t="s">
        <v>43</v>
      </c>
      <c r="AF23" s="31" t="s">
        <v>47</v>
      </c>
      <c r="AG23" s="25">
        <v>75</v>
      </c>
      <c r="AH23" s="16"/>
    </row>
    <row r="24" spans="1:39" s="15" customFormat="1" ht="42.95" customHeight="1" thickBot="1">
      <c r="A24" s="103">
        <v>8</v>
      </c>
      <c r="B24" s="134" t="s">
        <v>463</v>
      </c>
      <c r="C24" s="72">
        <v>80</v>
      </c>
      <c r="D24" s="40"/>
      <c r="E24" s="88">
        <f>'1117'!J11</f>
        <v>583.70000000000005</v>
      </c>
      <c r="F24" s="27" t="str">
        <f>VLOOKUP(B24,麵食資料庫!$A:$E,5,FALSE)</f>
        <v>HJ</v>
      </c>
      <c r="G24" s="103">
        <v>8</v>
      </c>
      <c r="H24" s="125" t="s">
        <v>442</v>
      </c>
      <c r="I24" s="72">
        <v>80</v>
      </c>
      <c r="J24" s="40"/>
      <c r="K24" s="88">
        <f>'1117'!J19</f>
        <v>575.20000000000005</v>
      </c>
      <c r="L24" s="27" t="str">
        <f>VLOOKUP(H24,麵食資料庫!$A:$E,5,FALSE)</f>
        <v>EFH</v>
      </c>
      <c r="M24" s="103">
        <v>8</v>
      </c>
      <c r="N24" s="125" t="s">
        <v>440</v>
      </c>
      <c r="O24" s="72">
        <v>80</v>
      </c>
      <c r="P24" s="40"/>
      <c r="Q24" s="88">
        <f>'1117'!J27</f>
        <v>652.5</v>
      </c>
      <c r="R24" s="27" t="str">
        <f>VLOOKUP(N24,麵食資料庫!$A:$E,5,FALSE)</f>
        <v>EHJ</v>
      </c>
      <c r="S24" s="103">
        <v>8</v>
      </c>
      <c r="T24" s="104" t="s">
        <v>480</v>
      </c>
      <c r="U24" s="72">
        <v>80</v>
      </c>
      <c r="V24" s="40"/>
      <c r="W24" s="88">
        <f>'1117'!J35</f>
        <v>506.79999999999995</v>
      </c>
      <c r="X24" s="27" t="str">
        <f>VLOOKUP(T24,麵食資料庫!$A:$E,5,FALSE)</f>
        <v>H</v>
      </c>
      <c r="Y24" s="103">
        <v>8</v>
      </c>
      <c r="Z24" s="125" t="s">
        <v>479</v>
      </c>
      <c r="AA24" s="72">
        <v>80</v>
      </c>
      <c r="AB24" s="40"/>
      <c r="AC24" s="88">
        <v>495.7</v>
      </c>
      <c r="AD24" s="27" t="s">
        <v>436</v>
      </c>
      <c r="AE24" s="13" t="s">
        <v>43</v>
      </c>
      <c r="AF24" s="17" t="s">
        <v>45</v>
      </c>
      <c r="AG24" s="25">
        <v>70</v>
      </c>
      <c r="AH24" s="16"/>
    </row>
    <row r="25" spans="1:39" s="15" customFormat="1" ht="2.25" customHeight="1" thickBot="1">
      <c r="A25" s="13"/>
      <c r="B25" s="31"/>
      <c r="C25" s="21"/>
      <c r="D25" s="21"/>
      <c r="E25" s="21"/>
      <c r="F25" s="14"/>
      <c r="G25" s="13"/>
      <c r="H25" s="17"/>
      <c r="I25" s="21"/>
      <c r="J25" s="21"/>
      <c r="K25" s="83"/>
      <c r="L25" s="14"/>
      <c r="M25" s="13"/>
      <c r="N25" s="17"/>
      <c r="O25" s="21"/>
      <c r="P25" s="21"/>
      <c r="Q25" s="83"/>
      <c r="R25" s="14"/>
      <c r="S25" s="13"/>
      <c r="T25" s="31"/>
      <c r="U25" s="21"/>
      <c r="V25" s="21"/>
      <c r="W25" s="83"/>
      <c r="X25" s="14"/>
      <c r="Y25" s="13"/>
      <c r="Z25" s="31"/>
      <c r="AA25" s="21"/>
      <c r="AB25" s="21"/>
      <c r="AC25" s="83"/>
      <c r="AD25" s="21"/>
      <c r="AE25" s="13"/>
      <c r="AF25" s="31"/>
      <c r="AG25" s="21"/>
      <c r="AH25" s="16"/>
    </row>
    <row r="26" spans="1:39" s="15" customFormat="1" ht="32.25" customHeight="1" thickBot="1">
      <c r="A26" s="210" t="s">
        <v>55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2"/>
      <c r="AE26" s="47"/>
      <c r="AF26" s="47"/>
      <c r="AG26" s="48"/>
      <c r="AH26" s="16"/>
    </row>
    <row r="27" spans="1:39" s="15" customFormat="1" ht="68.650000000000006" customHeight="1">
      <c r="A27" s="204" t="s">
        <v>124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6"/>
      <c r="AE27" s="24"/>
      <c r="AF27" s="24"/>
      <c r="AG27" s="24"/>
      <c r="AH27" s="16"/>
    </row>
    <row r="28" spans="1:39" ht="33.75" customHeight="1" thickBot="1">
      <c r="A28" s="201" t="s">
        <v>424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3"/>
      <c r="AE28" s="24"/>
      <c r="AF28" s="24"/>
      <c r="AG28" s="24"/>
      <c r="AH28" s="24"/>
      <c r="AI28" s="24"/>
      <c r="AJ28" s="24"/>
      <c r="AK28" s="24"/>
      <c r="AL28" s="24"/>
      <c r="AM28" s="24"/>
    </row>
  </sheetData>
  <mergeCells count="19">
    <mergeCell ref="A28:AD28"/>
    <mergeCell ref="A27:AD27"/>
    <mergeCell ref="H2:AD2"/>
    <mergeCell ref="A26:AD26"/>
    <mergeCell ref="D12:F12"/>
    <mergeCell ref="A1:AA1"/>
    <mergeCell ref="AE4:AG4"/>
    <mergeCell ref="AE5:AG5"/>
    <mergeCell ref="AE13:AG13"/>
    <mergeCell ref="A4:F4"/>
    <mergeCell ref="A5:F5"/>
    <mergeCell ref="G4:L4"/>
    <mergeCell ref="G5:L5"/>
    <mergeCell ref="M4:R4"/>
    <mergeCell ref="M5:R5"/>
    <mergeCell ref="S4:X4"/>
    <mergeCell ref="S5:X5"/>
    <mergeCell ref="Y4:AD4"/>
    <mergeCell ref="Y5:AD5"/>
  </mergeCells>
  <phoneticPr fontId="1" type="noConversion"/>
  <printOptions horizontalCentered="1"/>
  <pageMargins left="0" right="0" top="0" bottom="0" header="0" footer="0"/>
  <pageSetup paperSize="9" scale="62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3"/>
  <sheetViews>
    <sheetView topLeftCell="A16" zoomScale="61" zoomScaleNormal="61" workbookViewId="0">
      <selection activeCell="J41" sqref="J41:J43"/>
    </sheetView>
  </sheetViews>
  <sheetFormatPr defaultRowHeight="16.149999999999999"/>
  <cols>
    <col min="1" max="1" width="10.59765625" bestFit="1" customWidth="1"/>
    <col min="2" max="2" width="7.73046875" bestFit="1" customWidth="1"/>
    <col min="3" max="3" width="28.1328125" customWidth="1"/>
    <col min="4" max="4" width="10.46484375" bestFit="1" customWidth="1"/>
    <col min="5" max="5" width="17.265625" bestFit="1" customWidth="1"/>
    <col min="6" max="8" width="6.46484375" bestFit="1" customWidth="1"/>
    <col min="9" max="9" width="10.46484375" bestFit="1" customWidth="1"/>
    <col min="10" max="10" width="6.46484375" bestFit="1" customWidth="1"/>
    <col min="11" max="11" width="7.46484375" bestFit="1" customWidth="1"/>
    <col min="12" max="12" width="5.46484375" bestFit="1" customWidth="1"/>
    <col min="13" max="13" width="6.46484375" bestFit="1" customWidth="1"/>
    <col min="14" max="14" width="15.73046875" customWidth="1"/>
    <col min="18" max="18" width="9" customWidth="1"/>
  </cols>
  <sheetData>
    <row r="1" spans="1:14" ht="21.75" customHeight="1">
      <c r="A1" s="215" t="s">
        <v>5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</row>
    <row r="2" spans="1:14" ht="21.75" customHeight="1">
      <c r="A2" s="215" t="s">
        <v>6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7"/>
    </row>
    <row r="3" spans="1:14" ht="16.5" customHeight="1">
      <c r="A3" s="32" t="s">
        <v>7</v>
      </c>
      <c r="B3" s="32" t="s">
        <v>8</v>
      </c>
      <c r="C3" s="32" t="s">
        <v>9</v>
      </c>
      <c r="D3" s="32" t="s">
        <v>10</v>
      </c>
      <c r="E3" s="32" t="s">
        <v>11</v>
      </c>
      <c r="F3" s="32" t="s">
        <v>12</v>
      </c>
      <c r="G3" s="32" t="s">
        <v>13</v>
      </c>
      <c r="H3" s="32" t="s">
        <v>14</v>
      </c>
      <c r="I3" s="32" t="s">
        <v>15</v>
      </c>
      <c r="J3" s="32" t="s">
        <v>16</v>
      </c>
      <c r="K3" s="32" t="s">
        <v>17</v>
      </c>
      <c r="L3" s="32" t="s">
        <v>18</v>
      </c>
      <c r="M3" s="32" t="s">
        <v>19</v>
      </c>
      <c r="N3" s="32" t="s">
        <v>20</v>
      </c>
    </row>
    <row r="4" spans="1:14" ht="18" customHeight="1">
      <c r="A4" s="220">
        <v>45978</v>
      </c>
      <c r="B4" s="224">
        <f>A4</f>
        <v>45978</v>
      </c>
      <c r="C4" s="32" t="str">
        <f>週菜單!B7</f>
        <v>雞腿飯</v>
      </c>
      <c r="D4" s="32">
        <v>6.5</v>
      </c>
      <c r="E4" s="32">
        <v>2.6</v>
      </c>
      <c r="F4" s="32">
        <v>1</v>
      </c>
      <c r="G4" s="32"/>
      <c r="H4" s="32"/>
      <c r="I4" s="32">
        <v>3.5</v>
      </c>
      <c r="J4" s="32">
        <f>K4*4+L4*9+M4*4</f>
        <v>838.5</v>
      </c>
      <c r="K4" s="32">
        <f>D4*2+F4*1+G4*8+I4*7</f>
        <v>38.5</v>
      </c>
      <c r="L4" s="32">
        <f>E4*5+G4*8+I4*5</f>
        <v>30.5</v>
      </c>
      <c r="M4" s="32">
        <f>D4*15+F4*5+H4*15+G4*12</f>
        <v>102.5</v>
      </c>
      <c r="N4" s="32" t="str">
        <f>週菜單!B14</f>
        <v>季節時蔬</v>
      </c>
    </row>
    <row r="5" spans="1:14" ht="18" customHeight="1">
      <c r="A5" s="221"/>
      <c r="B5" s="225"/>
      <c r="C5" s="32" t="str">
        <f>週菜單!B8</f>
        <v>卡啦雞排飯</v>
      </c>
      <c r="D5" s="32">
        <v>6</v>
      </c>
      <c r="E5" s="32">
        <v>2.2000000000000002</v>
      </c>
      <c r="F5" s="32">
        <v>1.2</v>
      </c>
      <c r="G5" s="32"/>
      <c r="H5" s="32"/>
      <c r="I5" s="32">
        <v>2.5</v>
      </c>
      <c r="J5" s="32">
        <f t="shared" ref="J5:J42" si="0">K5*4+L5*9+M5*4</f>
        <v>718.3</v>
      </c>
      <c r="K5" s="32">
        <f t="shared" ref="K5:K42" si="1">D5*2+F5*1+G5*8+I5*7</f>
        <v>30.7</v>
      </c>
      <c r="L5" s="32">
        <f t="shared" ref="L5:L42" si="2">E5*5+G5*8+I5*5</f>
        <v>23.5</v>
      </c>
      <c r="M5" s="32">
        <f t="shared" ref="M5:M42" si="3">D5*15+F5*5+H5*15+G5*12</f>
        <v>96</v>
      </c>
      <c r="N5" s="32" t="str">
        <f>週菜單!B15</f>
        <v>泡菜冬粉</v>
      </c>
    </row>
    <row r="6" spans="1:14" ht="18" customHeight="1">
      <c r="A6" s="221"/>
      <c r="B6" s="225"/>
      <c r="C6" s="32" t="str">
        <f>週菜單!B9</f>
        <v>沙茶豬柳</v>
      </c>
      <c r="D6" s="32">
        <v>6</v>
      </c>
      <c r="E6" s="32">
        <v>2.2999999999999998</v>
      </c>
      <c r="F6" s="32">
        <v>1</v>
      </c>
      <c r="G6" s="32"/>
      <c r="H6" s="32"/>
      <c r="I6" s="32">
        <v>2.5</v>
      </c>
      <c r="J6" s="32">
        <f t="shared" si="0"/>
        <v>718</v>
      </c>
      <c r="K6" s="32">
        <f t="shared" si="1"/>
        <v>30.5</v>
      </c>
      <c r="L6" s="32">
        <f t="shared" si="2"/>
        <v>24</v>
      </c>
      <c r="M6" s="32">
        <f t="shared" si="3"/>
        <v>95</v>
      </c>
      <c r="N6" s="32" t="str">
        <f>週菜單!B16</f>
        <v>西芹鮮菇</v>
      </c>
    </row>
    <row r="7" spans="1:14" ht="18" customHeight="1">
      <c r="A7" s="221"/>
      <c r="B7" s="225"/>
      <c r="C7" s="32" t="str">
        <f>週菜單!B10</f>
        <v>滷香排骨</v>
      </c>
      <c r="D7" s="32">
        <v>6</v>
      </c>
      <c r="E7" s="32">
        <v>2.2000000000000002</v>
      </c>
      <c r="F7" s="32">
        <v>1</v>
      </c>
      <c r="G7" s="32"/>
      <c r="H7" s="32"/>
      <c r="I7" s="32">
        <v>2.5</v>
      </c>
      <c r="J7" s="32">
        <f t="shared" ref="J7:J8" si="4">K7*4+L7*9+M7*4</f>
        <v>713.5</v>
      </c>
      <c r="K7" s="32">
        <f t="shared" ref="K7:K8" si="5">D7*2+F7*1+G7*8+I7*7</f>
        <v>30.5</v>
      </c>
      <c r="L7" s="32">
        <f t="shared" ref="L7:L8" si="6">E7*5+G7*8+I7*5</f>
        <v>23.5</v>
      </c>
      <c r="M7" s="32">
        <f t="shared" ref="M7:M8" si="7">D7*15+F7*5+H7*15+G7*12</f>
        <v>95</v>
      </c>
      <c r="N7" s="32" t="str">
        <f>週菜單!B17</f>
        <v>毛豆紅絲炒蛋</v>
      </c>
    </row>
    <row r="8" spans="1:14" ht="18" customHeight="1">
      <c r="A8" s="221"/>
      <c r="B8" s="225"/>
      <c r="C8" s="32" t="str">
        <f>週菜單!B11</f>
        <v>香腸蛋炒飯</v>
      </c>
      <c r="D8" s="32">
        <v>5.5</v>
      </c>
      <c r="E8" s="32">
        <v>1.8</v>
      </c>
      <c r="F8" s="32">
        <v>1.2</v>
      </c>
      <c r="G8" s="32"/>
      <c r="H8" s="32"/>
      <c r="I8" s="32">
        <v>2</v>
      </c>
      <c r="J8" s="32">
        <f t="shared" si="4"/>
        <v>629.79999999999995</v>
      </c>
      <c r="K8" s="32">
        <f t="shared" si="5"/>
        <v>26.2</v>
      </c>
      <c r="L8" s="32">
        <f t="shared" si="6"/>
        <v>19</v>
      </c>
      <c r="M8" s="32">
        <f t="shared" si="7"/>
        <v>88.5</v>
      </c>
      <c r="N8" s="32"/>
    </row>
    <row r="9" spans="1:14" ht="18" customHeight="1">
      <c r="A9" s="221"/>
      <c r="B9" s="225"/>
      <c r="C9" s="32" t="str">
        <f>週菜單!B22</f>
        <v>滷味燙套餐</v>
      </c>
      <c r="D9" s="32">
        <v>4</v>
      </c>
      <c r="E9" s="32">
        <v>1.5</v>
      </c>
      <c r="F9" s="32">
        <v>1</v>
      </c>
      <c r="G9" s="32"/>
      <c r="H9" s="32"/>
      <c r="I9" s="32">
        <v>2.5</v>
      </c>
      <c r="J9" s="32">
        <f t="shared" si="0"/>
        <v>546</v>
      </c>
      <c r="K9" s="32">
        <f t="shared" si="1"/>
        <v>26.5</v>
      </c>
      <c r="L9" s="32">
        <f t="shared" si="2"/>
        <v>20</v>
      </c>
      <c r="M9" s="32">
        <f t="shared" si="3"/>
        <v>65</v>
      </c>
      <c r="N9" s="32"/>
    </row>
    <row r="10" spans="1:14" ht="18" customHeight="1">
      <c r="A10" s="221"/>
      <c r="B10" s="225"/>
      <c r="C10" s="32" t="str">
        <f>週菜單!B23</f>
        <v>玉米濃湯餃</v>
      </c>
      <c r="D10" s="32">
        <v>5</v>
      </c>
      <c r="E10" s="32">
        <v>1.5</v>
      </c>
      <c r="F10" s="32">
        <v>0.8</v>
      </c>
      <c r="G10" s="32"/>
      <c r="H10" s="32"/>
      <c r="I10" s="32">
        <v>2</v>
      </c>
      <c r="J10" s="32">
        <f t="shared" si="0"/>
        <v>572.70000000000005</v>
      </c>
      <c r="K10" s="32">
        <f t="shared" si="1"/>
        <v>24.8</v>
      </c>
      <c r="L10" s="32">
        <f t="shared" si="2"/>
        <v>17.5</v>
      </c>
      <c r="M10" s="32">
        <f t="shared" si="3"/>
        <v>79</v>
      </c>
      <c r="N10" s="32"/>
    </row>
    <row r="11" spans="1:14" ht="18" customHeight="1">
      <c r="A11" s="221"/>
      <c r="B11" s="225"/>
      <c r="C11" s="32" t="str">
        <f>週菜單!B24</f>
        <v>雞排乾拌麵</v>
      </c>
      <c r="D11" s="32">
        <v>4.5</v>
      </c>
      <c r="E11" s="32">
        <v>2.5</v>
      </c>
      <c r="F11" s="32">
        <v>0.8</v>
      </c>
      <c r="G11" s="32"/>
      <c r="H11" s="32"/>
      <c r="I11" s="32">
        <v>2</v>
      </c>
      <c r="J11" s="32">
        <f t="shared" si="0"/>
        <v>583.70000000000005</v>
      </c>
      <c r="K11" s="32">
        <f t="shared" si="1"/>
        <v>23.8</v>
      </c>
      <c r="L11" s="32">
        <f t="shared" si="2"/>
        <v>22.5</v>
      </c>
      <c r="M11" s="32">
        <f t="shared" si="3"/>
        <v>71.5</v>
      </c>
      <c r="N11" s="32"/>
    </row>
    <row r="12" spans="1:14" ht="18" customHeight="1">
      <c r="A12" s="218">
        <f>A4+1</f>
        <v>45979</v>
      </c>
      <c r="B12" s="222">
        <f>A12</f>
        <v>45979</v>
      </c>
      <c r="C12" s="33" t="str">
        <f>週菜單!H7</f>
        <v>雞腿飯</v>
      </c>
      <c r="D12" s="33">
        <v>5.8</v>
      </c>
      <c r="E12" s="33">
        <v>2.6</v>
      </c>
      <c r="F12" s="33">
        <v>1</v>
      </c>
      <c r="G12" s="33"/>
      <c r="H12" s="33"/>
      <c r="I12" s="33">
        <v>3</v>
      </c>
      <c r="J12" s="33">
        <f t="shared" si="0"/>
        <v>754.4</v>
      </c>
      <c r="K12" s="33">
        <f t="shared" si="1"/>
        <v>33.6</v>
      </c>
      <c r="L12" s="33">
        <f t="shared" si="2"/>
        <v>28</v>
      </c>
      <c r="M12" s="33">
        <f t="shared" si="3"/>
        <v>92</v>
      </c>
      <c r="N12" s="33" t="str">
        <f>週菜單!H14</f>
        <v>季節時蔬</v>
      </c>
    </row>
    <row r="13" spans="1:14" ht="18" customHeight="1">
      <c r="A13" s="219"/>
      <c r="B13" s="223"/>
      <c r="C13" s="33" t="str">
        <f>週菜單!H8</f>
        <v>三杯雞丁</v>
      </c>
      <c r="D13" s="33">
        <v>5.3</v>
      </c>
      <c r="E13" s="33">
        <v>2.4</v>
      </c>
      <c r="F13" s="33">
        <v>1.1000000000000001</v>
      </c>
      <c r="G13" s="33"/>
      <c r="H13" s="33"/>
      <c r="I13" s="33">
        <v>2</v>
      </c>
      <c r="J13" s="33">
        <f t="shared" si="0"/>
        <v>640.79999999999995</v>
      </c>
      <c r="K13" s="33">
        <f t="shared" si="1"/>
        <v>25.7</v>
      </c>
      <c r="L13" s="33">
        <f t="shared" si="2"/>
        <v>22</v>
      </c>
      <c r="M13" s="33">
        <f t="shared" si="3"/>
        <v>85</v>
      </c>
      <c r="N13" s="33" t="str">
        <f>週菜單!H15</f>
        <v>雙色南瓜</v>
      </c>
    </row>
    <row r="14" spans="1:14" ht="18" customHeight="1">
      <c r="A14" s="219"/>
      <c r="B14" s="223"/>
      <c r="C14" s="33" t="str">
        <f>週菜單!H9</f>
        <v>BBQ烤肉</v>
      </c>
      <c r="D14" s="33">
        <v>5.3</v>
      </c>
      <c r="E14" s="33">
        <v>2.2000000000000002</v>
      </c>
      <c r="F14" s="33">
        <v>1</v>
      </c>
      <c r="G14" s="33"/>
      <c r="H14" s="33"/>
      <c r="I14" s="33">
        <v>2</v>
      </c>
      <c r="J14" s="33">
        <f t="shared" si="0"/>
        <v>629.4</v>
      </c>
      <c r="K14" s="33">
        <f t="shared" si="1"/>
        <v>25.6</v>
      </c>
      <c r="L14" s="33">
        <f t="shared" si="2"/>
        <v>21</v>
      </c>
      <c r="M14" s="33">
        <f t="shared" si="3"/>
        <v>84.5</v>
      </c>
      <c r="N14" s="33" t="str">
        <f>週菜單!H16</f>
        <v>玉筍花椰</v>
      </c>
    </row>
    <row r="15" spans="1:14" ht="18" customHeight="1">
      <c r="A15" s="219"/>
      <c r="B15" s="223"/>
      <c r="C15" s="33" t="str">
        <f>週菜單!H10</f>
        <v>日式魚排</v>
      </c>
      <c r="D15" s="33">
        <v>5.8</v>
      </c>
      <c r="E15" s="33">
        <v>2.6</v>
      </c>
      <c r="F15" s="33">
        <v>1</v>
      </c>
      <c r="G15" s="33"/>
      <c r="H15" s="33"/>
      <c r="I15" s="33">
        <v>1.8</v>
      </c>
      <c r="J15" s="33">
        <f t="shared" ref="J15:J16" si="8">K15*4+L15*9+M15*4</f>
        <v>666.8</v>
      </c>
      <c r="K15" s="33">
        <f t="shared" ref="K15:K16" si="9">D15*2+F15*1+G15*8+I15*7</f>
        <v>25.2</v>
      </c>
      <c r="L15" s="33">
        <f t="shared" ref="L15:L16" si="10">E15*5+G15*8+I15*5</f>
        <v>22</v>
      </c>
      <c r="M15" s="33">
        <f t="shared" ref="M15:M16" si="11">D15*15+F15*5+H15*15+G15*12</f>
        <v>92</v>
      </c>
      <c r="N15" s="33" t="str">
        <f>週菜單!H17</f>
        <v>三色干絲</v>
      </c>
    </row>
    <row r="16" spans="1:14" ht="18" customHeight="1">
      <c r="A16" s="219"/>
      <c r="B16" s="223"/>
      <c r="C16" s="33" t="str">
        <f>週菜單!H11</f>
        <v>紅燒牛肉燴飯</v>
      </c>
      <c r="D16" s="33">
        <v>5</v>
      </c>
      <c r="E16" s="33">
        <v>2</v>
      </c>
      <c r="F16" s="33">
        <v>1</v>
      </c>
      <c r="G16" s="33">
        <v>0.3</v>
      </c>
      <c r="H16" s="33"/>
      <c r="I16" s="33">
        <v>2</v>
      </c>
      <c r="J16" s="33">
        <f t="shared" si="8"/>
        <v>645.59999999999991</v>
      </c>
      <c r="K16" s="33">
        <f t="shared" si="9"/>
        <v>27.4</v>
      </c>
      <c r="L16" s="33">
        <f t="shared" si="10"/>
        <v>22.4</v>
      </c>
      <c r="M16" s="33">
        <f t="shared" si="11"/>
        <v>83.6</v>
      </c>
      <c r="N16" s="33"/>
    </row>
    <row r="17" spans="1:14" ht="18" customHeight="1">
      <c r="A17" s="219"/>
      <c r="B17" s="223"/>
      <c r="C17" s="33" t="str">
        <f>週菜單!H22</f>
        <v>韓式部隊鍋</v>
      </c>
      <c r="D17" s="33">
        <v>4</v>
      </c>
      <c r="E17" s="33">
        <v>1</v>
      </c>
      <c r="F17" s="33">
        <v>0.8</v>
      </c>
      <c r="G17" s="33">
        <v>0.3</v>
      </c>
      <c r="H17" s="33"/>
      <c r="I17" s="33">
        <v>2</v>
      </c>
      <c r="J17" s="33">
        <f t="shared" si="0"/>
        <v>527.79999999999995</v>
      </c>
      <c r="K17" s="33">
        <f t="shared" si="1"/>
        <v>25.200000000000003</v>
      </c>
      <c r="L17" s="33">
        <f t="shared" si="2"/>
        <v>17.399999999999999</v>
      </c>
      <c r="M17" s="33">
        <f t="shared" si="3"/>
        <v>67.599999999999994</v>
      </c>
      <c r="N17" s="33"/>
    </row>
    <row r="18" spans="1:14" ht="18" customHeight="1">
      <c r="A18" s="219"/>
      <c r="B18" s="223"/>
      <c r="C18" s="33" t="str">
        <f>週菜單!H23</f>
        <v>叉燒醬油拉麵</v>
      </c>
      <c r="D18" s="33">
        <v>4</v>
      </c>
      <c r="E18" s="33">
        <v>1.5</v>
      </c>
      <c r="F18" s="33">
        <v>1</v>
      </c>
      <c r="G18" s="33"/>
      <c r="H18" s="33"/>
      <c r="I18" s="33">
        <v>2</v>
      </c>
      <c r="J18" s="33">
        <f t="shared" si="0"/>
        <v>509.5</v>
      </c>
      <c r="K18" s="33">
        <f t="shared" si="1"/>
        <v>23</v>
      </c>
      <c r="L18" s="33">
        <f t="shared" si="2"/>
        <v>17.5</v>
      </c>
      <c r="M18" s="33">
        <f t="shared" si="3"/>
        <v>65</v>
      </c>
      <c r="N18" s="33"/>
    </row>
    <row r="19" spans="1:14" ht="18" customHeight="1">
      <c r="A19" s="219"/>
      <c r="B19" s="223"/>
      <c r="C19" s="33" t="str">
        <f>週菜單!H24</f>
        <v>滷蛋肉燥拌麵</v>
      </c>
      <c r="D19" s="33">
        <v>4.5</v>
      </c>
      <c r="E19" s="33">
        <v>1.5</v>
      </c>
      <c r="F19" s="33">
        <v>0.8</v>
      </c>
      <c r="G19" s="33"/>
      <c r="H19" s="33"/>
      <c r="I19" s="33">
        <v>2.5</v>
      </c>
      <c r="J19" s="33">
        <f t="shared" si="0"/>
        <v>575.20000000000005</v>
      </c>
      <c r="K19" s="33">
        <f t="shared" si="1"/>
        <v>27.3</v>
      </c>
      <c r="L19" s="33">
        <f t="shared" si="2"/>
        <v>20</v>
      </c>
      <c r="M19" s="33">
        <f t="shared" si="3"/>
        <v>71.5</v>
      </c>
      <c r="N19" s="33"/>
    </row>
    <row r="20" spans="1:14" ht="18" customHeight="1">
      <c r="A20" s="220">
        <f>A12+1</f>
        <v>45980</v>
      </c>
      <c r="B20" s="224">
        <f>A20</f>
        <v>45980</v>
      </c>
      <c r="C20" s="32" t="str">
        <f>週菜單!N7</f>
        <v>雞腿飯</v>
      </c>
      <c r="D20" s="32">
        <v>5.5</v>
      </c>
      <c r="E20" s="32">
        <v>2.6</v>
      </c>
      <c r="F20" s="32">
        <v>1.2</v>
      </c>
      <c r="G20" s="32"/>
      <c r="H20" s="32"/>
      <c r="I20" s="32">
        <v>3.6</v>
      </c>
      <c r="J20" s="32">
        <f t="shared" si="0"/>
        <v>782.6</v>
      </c>
      <c r="K20" s="32">
        <f t="shared" si="1"/>
        <v>37.4</v>
      </c>
      <c r="L20" s="32">
        <f t="shared" si="2"/>
        <v>31</v>
      </c>
      <c r="M20" s="32">
        <f t="shared" si="3"/>
        <v>88.5</v>
      </c>
      <c r="N20" s="32" t="str">
        <f>週菜單!N14</f>
        <v>季節時蔬</v>
      </c>
    </row>
    <row r="21" spans="1:14" ht="18" customHeight="1">
      <c r="A21" s="221"/>
      <c r="B21" s="225"/>
      <c r="C21" s="32" t="str">
        <f>週菜單!N8</f>
        <v>椒鹽雞丁</v>
      </c>
      <c r="D21" s="32">
        <v>5</v>
      </c>
      <c r="E21" s="32">
        <v>2.4</v>
      </c>
      <c r="F21" s="32">
        <v>1.2</v>
      </c>
      <c r="G21" s="32"/>
      <c r="H21" s="32"/>
      <c r="I21" s="32">
        <v>2.6</v>
      </c>
      <c r="J21" s="32">
        <f t="shared" si="0"/>
        <v>666.6</v>
      </c>
      <c r="K21" s="32">
        <f t="shared" si="1"/>
        <v>29.4</v>
      </c>
      <c r="L21" s="32">
        <f t="shared" si="2"/>
        <v>25</v>
      </c>
      <c r="M21" s="32">
        <f t="shared" si="3"/>
        <v>81</v>
      </c>
      <c r="N21" s="32" t="str">
        <f>週菜單!N15</f>
        <v>青椒豆干</v>
      </c>
    </row>
    <row r="22" spans="1:14" ht="18" customHeight="1">
      <c r="A22" s="221"/>
      <c r="B22" s="225"/>
      <c r="C22" s="32" t="str">
        <f>週菜單!N9</f>
        <v>招牌燒肉</v>
      </c>
      <c r="D22" s="32">
        <v>5</v>
      </c>
      <c r="E22" s="32">
        <v>2.2999999999999998</v>
      </c>
      <c r="F22" s="32">
        <v>1.3</v>
      </c>
      <c r="G22" s="32"/>
      <c r="H22" s="32"/>
      <c r="I22" s="32">
        <v>2.6</v>
      </c>
      <c r="J22" s="32">
        <f t="shared" si="0"/>
        <v>664.5</v>
      </c>
      <c r="K22" s="32">
        <f t="shared" si="1"/>
        <v>29.5</v>
      </c>
      <c r="L22" s="32">
        <f t="shared" si="2"/>
        <v>24.5</v>
      </c>
      <c r="M22" s="32">
        <f t="shared" si="3"/>
        <v>81.5</v>
      </c>
      <c r="N22" s="32" t="str">
        <f>週菜單!N16</f>
        <v>三杯麵腸</v>
      </c>
    </row>
    <row r="23" spans="1:14" ht="18" customHeight="1">
      <c r="A23" s="221"/>
      <c r="B23" s="225"/>
      <c r="C23" s="32" t="str">
        <f>週菜單!N10</f>
        <v>糖醋里肌</v>
      </c>
      <c r="D23" s="32">
        <v>5.5</v>
      </c>
      <c r="E23" s="32">
        <v>2.6</v>
      </c>
      <c r="F23" s="32">
        <v>1.2</v>
      </c>
      <c r="G23" s="32"/>
      <c r="H23" s="32"/>
      <c r="I23" s="32">
        <v>2.4</v>
      </c>
      <c r="J23" s="32">
        <f t="shared" ref="J23:J24" si="12">K23*4+L23*9+M23*4</f>
        <v>695</v>
      </c>
      <c r="K23" s="32">
        <f t="shared" ref="K23:K24" si="13">D23*2+F23*1+G23*8+I23*7</f>
        <v>29</v>
      </c>
      <c r="L23" s="32">
        <f t="shared" ref="L23:L24" si="14">E23*5+G23*8+I23*5</f>
        <v>25</v>
      </c>
      <c r="M23" s="32">
        <f t="shared" ref="M23:M24" si="15">D23*15+F23*5+H23*15+G23*12</f>
        <v>88.5</v>
      </c>
      <c r="N23" s="32" t="str">
        <f>週菜單!N17</f>
        <v>針菇大黃瓜</v>
      </c>
    </row>
    <row r="24" spans="1:14" ht="18" customHeight="1">
      <c r="A24" s="221"/>
      <c r="B24" s="225"/>
      <c r="C24" s="32" t="str">
        <f>週菜單!N11</f>
        <v>火腿蛋炒飯</v>
      </c>
      <c r="D24" s="32">
        <v>4.5</v>
      </c>
      <c r="E24" s="32">
        <v>2</v>
      </c>
      <c r="F24" s="32">
        <v>0.9</v>
      </c>
      <c r="G24" s="32"/>
      <c r="H24" s="32"/>
      <c r="I24" s="32">
        <v>2</v>
      </c>
      <c r="J24" s="32">
        <f t="shared" si="12"/>
        <v>563.6</v>
      </c>
      <c r="K24" s="32">
        <f t="shared" si="13"/>
        <v>23.9</v>
      </c>
      <c r="L24" s="32">
        <f t="shared" si="14"/>
        <v>20</v>
      </c>
      <c r="M24" s="32">
        <f t="shared" si="15"/>
        <v>72</v>
      </c>
      <c r="N24" s="32"/>
    </row>
    <row r="25" spans="1:14" ht="18" customHeight="1">
      <c r="A25" s="221"/>
      <c r="B25" s="225"/>
      <c r="C25" s="32" t="str">
        <f>週菜單!N22</f>
        <v>什錦鍋燒意麵</v>
      </c>
      <c r="D25" s="32">
        <v>4</v>
      </c>
      <c r="E25" s="32">
        <v>1.5</v>
      </c>
      <c r="F25" s="32">
        <v>1</v>
      </c>
      <c r="G25" s="32"/>
      <c r="H25" s="32"/>
      <c r="I25" s="32">
        <v>2.5</v>
      </c>
      <c r="J25" s="32">
        <f t="shared" si="0"/>
        <v>546</v>
      </c>
      <c r="K25" s="32">
        <f t="shared" si="1"/>
        <v>26.5</v>
      </c>
      <c r="L25" s="32">
        <f t="shared" si="2"/>
        <v>20</v>
      </c>
      <c r="M25" s="32">
        <f t="shared" si="3"/>
        <v>65</v>
      </c>
      <c r="N25" s="32"/>
    </row>
    <row r="26" spans="1:14" ht="18" customHeight="1">
      <c r="A26" s="221"/>
      <c r="B26" s="225"/>
      <c r="C26" s="32" t="str">
        <f>週菜單!N23</f>
        <v>水餃</v>
      </c>
      <c r="D26" s="32">
        <v>5</v>
      </c>
      <c r="E26" s="32">
        <v>0.5</v>
      </c>
      <c r="F26" s="32">
        <v>1</v>
      </c>
      <c r="G26" s="32"/>
      <c r="H26" s="32"/>
      <c r="I26" s="32">
        <v>3</v>
      </c>
      <c r="J26" s="32">
        <f t="shared" si="0"/>
        <v>605.5</v>
      </c>
      <c r="K26" s="32">
        <f t="shared" si="1"/>
        <v>32</v>
      </c>
      <c r="L26" s="32">
        <f t="shared" si="2"/>
        <v>17.5</v>
      </c>
      <c r="M26" s="32">
        <f t="shared" si="3"/>
        <v>80</v>
      </c>
      <c r="N26" s="32"/>
    </row>
    <row r="27" spans="1:14" ht="18" customHeight="1">
      <c r="A27" s="221"/>
      <c r="B27" s="225"/>
      <c r="C27" s="32" t="str">
        <f>週菜單!N24</f>
        <v>白醬培根義大利麵</v>
      </c>
      <c r="D27" s="32">
        <v>4.5</v>
      </c>
      <c r="E27" s="32">
        <v>2.5</v>
      </c>
      <c r="F27" s="32">
        <v>0.5</v>
      </c>
      <c r="G27" s="32">
        <v>0.5</v>
      </c>
      <c r="H27" s="32"/>
      <c r="I27" s="32">
        <v>2</v>
      </c>
      <c r="J27" s="32">
        <f t="shared" si="0"/>
        <v>652.5</v>
      </c>
      <c r="K27" s="32">
        <f t="shared" si="1"/>
        <v>27.5</v>
      </c>
      <c r="L27" s="32">
        <f t="shared" si="2"/>
        <v>26.5</v>
      </c>
      <c r="M27" s="32">
        <f t="shared" si="3"/>
        <v>76</v>
      </c>
      <c r="N27" s="32"/>
    </row>
    <row r="28" spans="1:14" ht="18" customHeight="1">
      <c r="A28" s="218">
        <f>A20+1</f>
        <v>45981</v>
      </c>
      <c r="B28" s="222">
        <f>A28</f>
        <v>45981</v>
      </c>
      <c r="C28" s="33" t="str">
        <f>週菜單!T7</f>
        <v>雞腿飯</v>
      </c>
      <c r="D28" s="33">
        <v>5.5</v>
      </c>
      <c r="E28" s="33">
        <v>2.6</v>
      </c>
      <c r="F28" s="33">
        <v>1.1000000000000001</v>
      </c>
      <c r="G28" s="33"/>
      <c r="H28" s="33"/>
      <c r="I28" s="33">
        <v>3.5</v>
      </c>
      <c r="J28" s="34">
        <f t="shared" si="0"/>
        <v>772.9</v>
      </c>
      <c r="K28" s="34">
        <f t="shared" si="1"/>
        <v>36.6</v>
      </c>
      <c r="L28" s="34">
        <f t="shared" si="2"/>
        <v>30.5</v>
      </c>
      <c r="M28" s="34">
        <f t="shared" si="3"/>
        <v>88</v>
      </c>
      <c r="N28" s="33" t="str">
        <f>週菜單!T14</f>
        <v>季節時蔬</v>
      </c>
    </row>
    <row r="29" spans="1:14" ht="18" customHeight="1">
      <c r="A29" s="219"/>
      <c r="B29" s="223"/>
      <c r="C29" s="33" t="str">
        <f>週菜單!T8</f>
        <v>鐵路便當</v>
      </c>
      <c r="D29" s="33">
        <v>5.5</v>
      </c>
      <c r="E29" s="33">
        <v>2.7</v>
      </c>
      <c r="F29" s="33">
        <v>1.1000000000000001</v>
      </c>
      <c r="G29" s="33"/>
      <c r="H29" s="33"/>
      <c r="I29" s="33">
        <v>2.5</v>
      </c>
      <c r="J29" s="34">
        <f t="shared" si="0"/>
        <v>704.4</v>
      </c>
      <c r="K29" s="34">
        <f t="shared" si="1"/>
        <v>29.6</v>
      </c>
      <c r="L29" s="34">
        <f t="shared" si="2"/>
        <v>26</v>
      </c>
      <c r="M29" s="34">
        <f t="shared" si="3"/>
        <v>88</v>
      </c>
      <c r="N29" s="33" t="str">
        <f>週菜單!T15</f>
        <v>韭菜豆芽</v>
      </c>
    </row>
    <row r="30" spans="1:14" ht="18" customHeight="1">
      <c r="A30" s="219"/>
      <c r="B30" s="223"/>
      <c r="C30" s="33" t="str">
        <f>週菜單!T9</f>
        <v>燒烤腿排</v>
      </c>
      <c r="D30" s="33">
        <v>5</v>
      </c>
      <c r="E30" s="33">
        <v>2.2999999999999998</v>
      </c>
      <c r="F30" s="33">
        <v>1.3</v>
      </c>
      <c r="G30" s="33"/>
      <c r="H30" s="33"/>
      <c r="I30" s="33">
        <v>2.5</v>
      </c>
      <c r="J30" s="34">
        <f t="shared" si="0"/>
        <v>657.2</v>
      </c>
      <c r="K30" s="34">
        <f t="shared" si="1"/>
        <v>28.8</v>
      </c>
      <c r="L30" s="34">
        <f t="shared" si="2"/>
        <v>24</v>
      </c>
      <c r="M30" s="34">
        <f t="shared" si="3"/>
        <v>81.5</v>
      </c>
      <c r="N30" s="33" t="str">
        <f>週菜單!T16</f>
        <v>玉米豆腐</v>
      </c>
    </row>
    <row r="31" spans="1:14" ht="18" customHeight="1">
      <c r="A31" s="219"/>
      <c r="B31" s="223"/>
      <c r="C31" s="33" t="str">
        <f>週菜單!T10</f>
        <v>宮保豬肉</v>
      </c>
      <c r="D31" s="33">
        <v>5.5</v>
      </c>
      <c r="E31" s="33">
        <v>2.6</v>
      </c>
      <c r="F31" s="33">
        <v>1.3</v>
      </c>
      <c r="G31" s="33"/>
      <c r="H31" s="33"/>
      <c r="I31" s="33">
        <v>2.2999999999999998</v>
      </c>
      <c r="J31" s="34">
        <f t="shared" ref="J31:J32" si="16">K31*4+L31*9+M31*4</f>
        <v>690.1</v>
      </c>
      <c r="K31" s="34">
        <f t="shared" ref="K31:K32" si="17">D31*2+F31*1+G31*8+I31*7</f>
        <v>28.4</v>
      </c>
      <c r="L31" s="34">
        <f t="shared" ref="L31:L32" si="18">E31*5+G31*8+I31*5</f>
        <v>24.5</v>
      </c>
      <c r="M31" s="34">
        <f t="shared" ref="M31:M32" si="19">D31*15+F31*5+H31*15+G31*12</f>
        <v>89</v>
      </c>
      <c r="N31" s="33" t="str">
        <f>週菜單!T17</f>
        <v>塔香海帶根</v>
      </c>
    </row>
    <row r="32" spans="1:14" ht="18" customHeight="1">
      <c r="A32" s="219"/>
      <c r="B32" s="223"/>
      <c r="C32" s="33" t="str">
        <f>週菜單!T11</f>
        <v>南蠻雞肉丼</v>
      </c>
      <c r="D32" s="33">
        <v>5.5</v>
      </c>
      <c r="E32" s="33">
        <v>2.5</v>
      </c>
      <c r="F32" s="33">
        <v>1</v>
      </c>
      <c r="G32" s="33"/>
      <c r="H32" s="33"/>
      <c r="I32" s="33">
        <v>2</v>
      </c>
      <c r="J32" s="34">
        <f t="shared" si="16"/>
        <v>656.5</v>
      </c>
      <c r="K32" s="34">
        <f t="shared" si="17"/>
        <v>26</v>
      </c>
      <c r="L32" s="34">
        <f t="shared" si="18"/>
        <v>22.5</v>
      </c>
      <c r="M32" s="34">
        <f t="shared" si="19"/>
        <v>87.5</v>
      </c>
      <c r="N32" s="33"/>
    </row>
    <row r="33" spans="1:14" ht="18" customHeight="1">
      <c r="A33" s="219"/>
      <c r="B33" s="223"/>
      <c r="C33" s="33" t="str">
        <f>週菜單!T22</f>
        <v>紅燒牛肉麵</v>
      </c>
      <c r="D33" s="33">
        <v>4</v>
      </c>
      <c r="E33" s="33">
        <v>1.5</v>
      </c>
      <c r="F33" s="33">
        <v>1.1000000000000001</v>
      </c>
      <c r="G33" s="33"/>
      <c r="H33" s="33"/>
      <c r="I33" s="33">
        <v>2</v>
      </c>
      <c r="J33" s="34">
        <f t="shared" si="0"/>
        <v>511.9</v>
      </c>
      <c r="K33" s="34">
        <f t="shared" si="1"/>
        <v>23.1</v>
      </c>
      <c r="L33" s="34">
        <f t="shared" si="2"/>
        <v>17.5</v>
      </c>
      <c r="M33" s="34">
        <f t="shared" si="3"/>
        <v>65.5</v>
      </c>
      <c r="N33" s="33"/>
    </row>
    <row r="34" spans="1:14" ht="18" customHeight="1">
      <c r="A34" s="219"/>
      <c r="B34" s="223"/>
      <c r="C34" s="33" t="str">
        <f>週菜單!T23</f>
        <v>元氣小火鍋</v>
      </c>
      <c r="D34" s="33">
        <v>4</v>
      </c>
      <c r="E34" s="33">
        <v>1</v>
      </c>
      <c r="F34" s="33">
        <v>1</v>
      </c>
      <c r="G34" s="33"/>
      <c r="H34" s="33"/>
      <c r="I34" s="33">
        <v>1.3</v>
      </c>
      <c r="J34" s="34">
        <f t="shared" si="0"/>
        <v>435.9</v>
      </c>
      <c r="K34" s="34">
        <f t="shared" si="1"/>
        <v>18.100000000000001</v>
      </c>
      <c r="L34" s="34">
        <f t="shared" si="2"/>
        <v>11.5</v>
      </c>
      <c r="M34" s="34">
        <f t="shared" si="3"/>
        <v>65</v>
      </c>
      <c r="N34" s="33"/>
    </row>
    <row r="35" spans="1:14" ht="18" customHeight="1">
      <c r="A35" s="219"/>
      <c r="B35" s="223"/>
      <c r="C35" s="33" t="str">
        <f>週菜單!T24</f>
        <v>白油炒手麵</v>
      </c>
      <c r="D35" s="33">
        <v>4</v>
      </c>
      <c r="E35" s="33">
        <v>0.9</v>
      </c>
      <c r="F35" s="33">
        <v>1.1000000000000001</v>
      </c>
      <c r="G35" s="33"/>
      <c r="H35" s="33"/>
      <c r="I35" s="33">
        <v>2.2999999999999998</v>
      </c>
      <c r="J35" s="34">
        <f t="shared" si="0"/>
        <v>506.79999999999995</v>
      </c>
      <c r="K35" s="34">
        <f t="shared" si="1"/>
        <v>25.199999999999996</v>
      </c>
      <c r="L35" s="34">
        <f t="shared" si="2"/>
        <v>16</v>
      </c>
      <c r="M35" s="34">
        <f t="shared" si="3"/>
        <v>65.5</v>
      </c>
      <c r="N35" s="33"/>
    </row>
    <row r="36" spans="1:14" ht="18" customHeight="1">
      <c r="A36" s="220">
        <f>A28+1</f>
        <v>45982</v>
      </c>
      <c r="B36" s="224">
        <f>A36</f>
        <v>45982</v>
      </c>
      <c r="C36" s="32" t="str">
        <f>週菜單!Z7</f>
        <v>雞腿飯</v>
      </c>
      <c r="D36" s="32">
        <v>6</v>
      </c>
      <c r="E36" s="32">
        <v>2.7</v>
      </c>
      <c r="F36" s="32">
        <v>1.2</v>
      </c>
      <c r="G36" s="32"/>
      <c r="H36" s="32"/>
      <c r="I36" s="32">
        <v>2.8</v>
      </c>
      <c r="J36" s="32">
        <f t="shared" si="0"/>
        <v>762.7</v>
      </c>
      <c r="K36" s="32">
        <f t="shared" si="1"/>
        <v>32.799999999999997</v>
      </c>
      <c r="L36" s="32">
        <f t="shared" si="2"/>
        <v>27.5</v>
      </c>
      <c r="M36" s="32">
        <f t="shared" si="3"/>
        <v>96</v>
      </c>
      <c r="N36" s="32" t="str">
        <f>週菜單!Z14</f>
        <v>季節時蔬</v>
      </c>
    </row>
    <row r="37" spans="1:14" ht="18" customHeight="1">
      <c r="A37" s="221"/>
      <c r="B37" s="225"/>
      <c r="C37" s="32" t="str">
        <f>週菜單!Z8</f>
        <v>香酥雞排</v>
      </c>
      <c r="D37" s="32">
        <v>6</v>
      </c>
      <c r="E37" s="32">
        <v>2.6</v>
      </c>
      <c r="F37" s="32">
        <v>1.2</v>
      </c>
      <c r="G37" s="32"/>
      <c r="H37" s="32"/>
      <c r="I37" s="32">
        <v>2.2999999999999998</v>
      </c>
      <c r="J37" s="32">
        <f t="shared" si="0"/>
        <v>721.7</v>
      </c>
      <c r="K37" s="32">
        <f t="shared" si="1"/>
        <v>29.299999999999997</v>
      </c>
      <c r="L37" s="32">
        <f t="shared" si="2"/>
        <v>24.5</v>
      </c>
      <c r="M37" s="32">
        <f t="shared" si="3"/>
        <v>96</v>
      </c>
      <c r="N37" s="32" t="str">
        <f>週菜單!Z15</f>
        <v>小黃瓜素雞</v>
      </c>
    </row>
    <row r="38" spans="1:14" ht="18" customHeight="1">
      <c r="A38" s="221"/>
      <c r="B38" s="225"/>
      <c r="C38" s="32" t="str">
        <f>週菜單!Z9</f>
        <v>紅燒雞丁</v>
      </c>
      <c r="D38" s="32">
        <v>5.5</v>
      </c>
      <c r="E38" s="32">
        <v>2.4</v>
      </c>
      <c r="F38" s="32">
        <v>1.3</v>
      </c>
      <c r="G38" s="32"/>
      <c r="H38" s="32"/>
      <c r="I38" s="32">
        <v>2.2999999999999998</v>
      </c>
      <c r="J38" s="32">
        <f t="shared" si="0"/>
        <v>681.1</v>
      </c>
      <c r="K38" s="32">
        <f t="shared" si="1"/>
        <v>28.4</v>
      </c>
      <c r="L38" s="32">
        <f t="shared" si="2"/>
        <v>23.5</v>
      </c>
      <c r="M38" s="32">
        <f t="shared" si="3"/>
        <v>89</v>
      </c>
      <c r="N38" s="32" t="str">
        <f>週菜單!Z16</f>
        <v>咖哩洋芋</v>
      </c>
    </row>
    <row r="39" spans="1:14" ht="18" customHeight="1">
      <c r="A39" s="221"/>
      <c r="B39" s="225"/>
      <c r="C39" s="32" t="str">
        <f>週菜單!Z10</f>
        <v>黑胡椒豬肉</v>
      </c>
      <c r="D39" s="32">
        <v>5.5</v>
      </c>
      <c r="E39" s="32">
        <v>2.2000000000000002</v>
      </c>
      <c r="F39" s="32">
        <v>1.3</v>
      </c>
      <c r="G39" s="32"/>
      <c r="H39" s="32"/>
      <c r="I39" s="32">
        <v>2.2999999999999998</v>
      </c>
      <c r="J39" s="32">
        <f t="shared" ref="J39" si="20">K39*4+L39*9+M39*4</f>
        <v>672.1</v>
      </c>
      <c r="K39" s="32">
        <f t="shared" ref="K39" si="21">D39*2+F39*1+G39*8+I39*7</f>
        <v>28.4</v>
      </c>
      <c r="L39" s="32">
        <f t="shared" ref="L39" si="22">E39*5+G39*8+I39*5</f>
        <v>22.5</v>
      </c>
      <c r="M39" s="32">
        <f t="shared" ref="M39" si="23">D39*15+F39*5+H39*15+G39*12</f>
        <v>89</v>
      </c>
      <c r="N39" s="32" t="str">
        <f>週菜單!Z17</f>
        <v>香菇四季豆</v>
      </c>
    </row>
    <row r="40" spans="1:14" ht="18" customHeight="1">
      <c r="A40" s="221"/>
      <c r="B40" s="225"/>
      <c r="C40" s="32" t="str">
        <f>週菜單!Z11</f>
        <v>奶油培根燴飯</v>
      </c>
      <c r="D40" s="32">
        <v>4</v>
      </c>
      <c r="E40" s="32">
        <v>1.8</v>
      </c>
      <c r="F40" s="32">
        <v>0.8</v>
      </c>
      <c r="G40" s="32">
        <v>0.3</v>
      </c>
      <c r="H40" s="32"/>
      <c r="I40" s="32">
        <v>2</v>
      </c>
      <c r="J40" s="32">
        <f t="shared" ref="J40" si="24">K40*4+L40*9+M40*4</f>
        <v>563.79999999999995</v>
      </c>
      <c r="K40" s="32">
        <f t="shared" ref="K40" si="25">D40*2+F40*1+G40*8+I40*7</f>
        <v>25.200000000000003</v>
      </c>
      <c r="L40" s="32">
        <f t="shared" ref="L40" si="26">E40*5+G40*8+I40*5</f>
        <v>21.4</v>
      </c>
      <c r="M40" s="32">
        <f t="shared" ref="M40" si="27">D40*15+F40*5+H40*15+G40*12</f>
        <v>67.599999999999994</v>
      </c>
      <c r="N40" s="32"/>
    </row>
    <row r="41" spans="1:14" ht="18" customHeight="1">
      <c r="A41" s="221"/>
      <c r="B41" s="225"/>
      <c r="C41" s="32" t="str">
        <f>週菜單!Z22</f>
        <v>滷味燙套餐</v>
      </c>
      <c r="D41" s="32">
        <v>4</v>
      </c>
      <c r="E41" s="32">
        <v>1.5</v>
      </c>
      <c r="F41" s="32">
        <v>1</v>
      </c>
      <c r="G41" s="32"/>
      <c r="H41" s="32"/>
      <c r="I41" s="32">
        <v>2.5</v>
      </c>
      <c r="J41" s="32">
        <f t="shared" si="0"/>
        <v>546</v>
      </c>
      <c r="K41" s="32">
        <f t="shared" si="1"/>
        <v>26.5</v>
      </c>
      <c r="L41" s="32">
        <f t="shared" si="2"/>
        <v>20</v>
      </c>
      <c r="M41" s="32">
        <f t="shared" si="3"/>
        <v>65</v>
      </c>
      <c r="N41" s="32"/>
    </row>
    <row r="42" spans="1:14" ht="18" customHeight="1">
      <c r="A42" s="221"/>
      <c r="B42" s="225"/>
      <c r="C42" s="32" t="str">
        <f>週菜單!Z23</f>
        <v>麻辣臭豆腐鴨血</v>
      </c>
      <c r="D42" s="32">
        <v>4.5</v>
      </c>
      <c r="E42" s="32">
        <v>0.5</v>
      </c>
      <c r="F42" s="32">
        <v>0.7</v>
      </c>
      <c r="G42" s="32"/>
      <c r="H42" s="32"/>
      <c r="I42" s="32">
        <v>2.5</v>
      </c>
      <c r="J42" s="32">
        <f t="shared" si="0"/>
        <v>527.79999999999995</v>
      </c>
      <c r="K42" s="32">
        <f t="shared" si="1"/>
        <v>27.2</v>
      </c>
      <c r="L42" s="32">
        <f t="shared" si="2"/>
        <v>15</v>
      </c>
      <c r="M42" s="32">
        <f t="shared" si="3"/>
        <v>71</v>
      </c>
      <c r="N42" s="32"/>
    </row>
    <row r="43" spans="1:14" ht="18" customHeight="1">
      <c r="A43" s="226"/>
      <c r="B43" s="227"/>
      <c r="C43" s="32" t="str">
        <f>週菜單!Z24</f>
        <v>泡菜燒肉拌麵</v>
      </c>
      <c r="D43" s="32">
        <v>4</v>
      </c>
      <c r="E43" s="32">
        <v>1.3</v>
      </c>
      <c r="F43" s="32">
        <v>0.8</v>
      </c>
      <c r="G43" s="32"/>
      <c r="H43" s="32"/>
      <c r="I43" s="32">
        <v>2</v>
      </c>
      <c r="J43" s="32">
        <f>K43*4+L43*9+M43*4</f>
        <v>495.7</v>
      </c>
      <c r="K43" s="32">
        <f>D43*2+F43*1+G43*8+I43*7</f>
        <v>22.8</v>
      </c>
      <c r="L43" s="32">
        <f>E43*5+G43*8+I43*5</f>
        <v>16.5</v>
      </c>
      <c r="M43" s="32">
        <f>D43*15+F43*5+H43*15+G43*12</f>
        <v>64</v>
      </c>
      <c r="N43" s="32"/>
    </row>
  </sheetData>
  <mergeCells count="12">
    <mergeCell ref="A36:A43"/>
    <mergeCell ref="B36:B43"/>
    <mergeCell ref="B20:B27"/>
    <mergeCell ref="A28:A35"/>
    <mergeCell ref="A20:A27"/>
    <mergeCell ref="B28:B35"/>
    <mergeCell ref="A1:N1"/>
    <mergeCell ref="A2:N2"/>
    <mergeCell ref="A12:A19"/>
    <mergeCell ref="A4:A11"/>
    <mergeCell ref="B12:B19"/>
    <mergeCell ref="B4:B11"/>
  </mergeCells>
  <phoneticPr fontId="1" type="noConversion"/>
  <printOptions horizontalCentered="1"/>
  <pageMargins left="0.23622047244094491" right="0.23622047244094491" top="0" bottom="0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zoomScale="73" zoomScaleNormal="73" workbookViewId="0">
      <selection activeCell="N11" sqref="N11"/>
    </sheetView>
  </sheetViews>
  <sheetFormatPr defaultRowHeight="16.149999999999999"/>
  <cols>
    <col min="2" max="2" width="10.265625" bestFit="1" customWidth="1"/>
  </cols>
  <sheetData>
    <row r="1" spans="1:27" s="36" customFormat="1">
      <c r="A1" s="36" t="s">
        <v>21</v>
      </c>
      <c r="B1" s="36" t="s">
        <v>22</v>
      </c>
      <c r="C1" s="36" t="s">
        <v>23</v>
      </c>
      <c r="D1" s="36" t="s">
        <v>24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25</v>
      </c>
      <c r="J1" s="36" t="s">
        <v>16</v>
      </c>
      <c r="K1" s="36" t="s">
        <v>26</v>
      </c>
      <c r="L1" s="36" t="s">
        <v>27</v>
      </c>
      <c r="M1" s="36" t="s">
        <v>28</v>
      </c>
      <c r="N1" s="36" t="s">
        <v>28</v>
      </c>
      <c r="O1" s="36" t="s">
        <v>28</v>
      </c>
      <c r="P1" s="36" t="s">
        <v>28</v>
      </c>
      <c r="Q1" s="36" t="s">
        <v>20</v>
      </c>
      <c r="R1" s="36" t="s">
        <v>20</v>
      </c>
      <c r="S1" s="36" t="s">
        <v>20</v>
      </c>
      <c r="T1" s="36" t="s">
        <v>20</v>
      </c>
      <c r="U1" s="36" t="s">
        <v>20</v>
      </c>
      <c r="V1" s="36" t="s">
        <v>20</v>
      </c>
      <c r="W1" s="36" t="s">
        <v>29</v>
      </c>
      <c r="X1" s="36" t="s">
        <v>30</v>
      </c>
      <c r="Y1" s="36" t="s">
        <v>31</v>
      </c>
      <c r="Z1" s="36" t="s">
        <v>31</v>
      </c>
      <c r="AA1" s="36" t="s">
        <v>31</v>
      </c>
    </row>
    <row r="2" spans="1:27" s="36" customFormat="1">
      <c r="A2" s="36" t="s">
        <v>32</v>
      </c>
      <c r="B2" s="37">
        <f>週菜單!A4</f>
        <v>45978</v>
      </c>
      <c r="C2" s="36" t="s">
        <v>33</v>
      </c>
      <c r="D2" s="36" t="s">
        <v>34</v>
      </c>
      <c r="E2" s="36" t="s">
        <v>35</v>
      </c>
      <c r="F2" s="36" t="s">
        <v>36</v>
      </c>
      <c r="G2" s="36" t="s">
        <v>37</v>
      </c>
      <c r="H2" s="36" t="s">
        <v>37</v>
      </c>
      <c r="I2" s="36" t="s">
        <v>35</v>
      </c>
      <c r="J2" s="36" t="s">
        <v>38</v>
      </c>
      <c r="K2" s="36" t="s">
        <v>39</v>
      </c>
      <c r="L2" s="36" t="s">
        <v>40</v>
      </c>
      <c r="M2" s="33" t="str">
        <f>週菜單!B7</f>
        <v>雞腿飯</v>
      </c>
      <c r="N2" s="33" t="str">
        <f>週菜單!B8</f>
        <v>卡啦雞排飯</v>
      </c>
      <c r="O2" s="33" t="e">
        <f>週菜單!#REF!</f>
        <v>#REF!</v>
      </c>
      <c r="P2" s="33" t="str">
        <f>週菜單!B9</f>
        <v>沙茶豬柳</v>
      </c>
      <c r="Q2" s="33" t="str">
        <f>週菜單!B22</f>
        <v>滷味燙套餐</v>
      </c>
      <c r="R2" s="33" t="str">
        <f>週菜單!B23</f>
        <v>玉米濃湯餃</v>
      </c>
      <c r="S2" s="33" t="str">
        <f>週菜單!B24</f>
        <v>雞排乾拌麵</v>
      </c>
      <c r="T2" s="33" t="e">
        <f>週菜單!#REF!</f>
        <v>#REF!</v>
      </c>
      <c r="U2" s="36" t="str">
        <f>週菜單!B15</f>
        <v>泡菜冬粉</v>
      </c>
      <c r="V2" s="36" t="str">
        <f>週菜單!B16</f>
        <v>西芹鮮菇</v>
      </c>
      <c r="W2" s="36" t="str">
        <f>週菜單!B17</f>
        <v>毛豆紅絲炒蛋</v>
      </c>
      <c r="X2" s="36">
        <f>週菜單!B18</f>
        <v>0</v>
      </c>
      <c r="Y2" s="36" t="s">
        <v>40</v>
      </c>
      <c r="Z2" s="36" t="s">
        <v>40</v>
      </c>
      <c r="AA2" s="36" t="s">
        <v>40</v>
      </c>
    </row>
    <row r="3" spans="1:27" s="36" customFormat="1">
      <c r="A3" s="36" t="s">
        <v>32</v>
      </c>
      <c r="B3" s="37">
        <f>週菜單!G4</f>
        <v>45979</v>
      </c>
      <c r="C3" s="36" t="s">
        <v>33</v>
      </c>
      <c r="D3" s="36" t="s">
        <v>34</v>
      </c>
      <c r="E3" s="36" t="s">
        <v>35</v>
      </c>
      <c r="F3" s="36" t="s">
        <v>36</v>
      </c>
      <c r="G3" s="36" t="s">
        <v>37</v>
      </c>
      <c r="H3" s="36" t="s">
        <v>37</v>
      </c>
      <c r="I3" s="36" t="s">
        <v>35</v>
      </c>
      <c r="J3" s="36" t="s">
        <v>38</v>
      </c>
      <c r="K3" s="36" t="s">
        <v>39</v>
      </c>
      <c r="L3" s="36" t="s">
        <v>40</v>
      </c>
      <c r="M3" s="33" t="str">
        <f>週菜單!H7</f>
        <v>雞腿飯</v>
      </c>
      <c r="N3" s="33" t="str">
        <f>週菜單!H8</f>
        <v>三杯雞丁</v>
      </c>
      <c r="O3" s="33" t="e">
        <f>週菜單!#REF!</f>
        <v>#REF!</v>
      </c>
      <c r="P3" s="33" t="str">
        <f>週菜單!H9</f>
        <v>BBQ烤肉</v>
      </c>
      <c r="Q3" s="33" t="str">
        <f>週菜單!H22</f>
        <v>韓式部隊鍋</v>
      </c>
      <c r="R3" s="33" t="str">
        <f>週菜單!H23</f>
        <v>叉燒醬油拉麵</v>
      </c>
      <c r="S3" s="33" t="str">
        <f>週菜單!H24</f>
        <v>滷蛋肉燥拌麵</v>
      </c>
      <c r="T3" s="33" t="e">
        <f>週菜單!#REF!</f>
        <v>#REF!</v>
      </c>
      <c r="U3" s="36" t="str">
        <f>週菜單!H15</f>
        <v>雙色南瓜</v>
      </c>
      <c r="V3" s="36" t="str">
        <f>週菜單!H16</f>
        <v>玉筍花椰</v>
      </c>
      <c r="W3" s="36" t="str">
        <f>週菜單!H17</f>
        <v>三色干絲</v>
      </c>
      <c r="X3" s="36">
        <f>週菜單!H18</f>
        <v>0</v>
      </c>
      <c r="Y3" s="36" t="s">
        <v>40</v>
      </c>
      <c r="Z3" s="36" t="s">
        <v>40</v>
      </c>
      <c r="AA3" s="36" t="s">
        <v>40</v>
      </c>
    </row>
    <row r="4" spans="1:27" s="36" customFormat="1">
      <c r="A4" s="36" t="s">
        <v>32</v>
      </c>
      <c r="B4" s="37">
        <f>週菜單!M4</f>
        <v>45980</v>
      </c>
      <c r="C4" s="36" t="s">
        <v>33</v>
      </c>
      <c r="D4" s="36" t="s">
        <v>34</v>
      </c>
      <c r="E4" s="36" t="s">
        <v>35</v>
      </c>
      <c r="F4" s="36" t="s">
        <v>36</v>
      </c>
      <c r="G4" s="36" t="s">
        <v>37</v>
      </c>
      <c r="H4" s="36" t="s">
        <v>37</v>
      </c>
      <c r="I4" s="36" t="s">
        <v>35</v>
      </c>
      <c r="J4" s="36" t="s">
        <v>38</v>
      </c>
      <c r="K4" s="36" t="s">
        <v>39</v>
      </c>
      <c r="L4" s="36" t="s">
        <v>40</v>
      </c>
      <c r="M4" s="33" t="str">
        <f>週菜單!N7</f>
        <v>雞腿飯</v>
      </c>
      <c r="N4" s="33" t="str">
        <f>週菜單!N8</f>
        <v>椒鹽雞丁</v>
      </c>
      <c r="O4" s="33" t="e">
        <f>週菜單!#REF!</f>
        <v>#REF!</v>
      </c>
      <c r="P4" s="33" t="str">
        <f>週菜單!N9</f>
        <v>招牌燒肉</v>
      </c>
      <c r="Q4" s="33" t="str">
        <f>週菜單!N22</f>
        <v>什錦鍋燒意麵</v>
      </c>
      <c r="R4" s="33" t="str">
        <f>週菜單!N23</f>
        <v>水餃</v>
      </c>
      <c r="S4" s="33" t="str">
        <f>週菜單!N24</f>
        <v>白醬培根義大利麵</v>
      </c>
      <c r="T4" s="33" t="e">
        <f>週菜單!#REF!</f>
        <v>#REF!</v>
      </c>
      <c r="U4" s="36" t="str">
        <f>週菜單!N15</f>
        <v>青椒豆干</v>
      </c>
      <c r="V4" s="36" t="str">
        <f>週菜單!N16</f>
        <v>三杯麵腸</v>
      </c>
      <c r="W4" s="36" t="str">
        <f>週菜單!N17</f>
        <v>針菇大黃瓜</v>
      </c>
      <c r="X4" s="36">
        <f>週菜單!N18</f>
        <v>0</v>
      </c>
      <c r="Y4" s="36" t="s">
        <v>40</v>
      </c>
      <c r="Z4" s="36" t="s">
        <v>40</v>
      </c>
      <c r="AA4" s="36" t="s">
        <v>40</v>
      </c>
    </row>
    <row r="5" spans="1:27" s="36" customFormat="1">
      <c r="A5" s="36" t="s">
        <v>32</v>
      </c>
      <c r="B5" s="37">
        <f>週菜單!S4</f>
        <v>45981</v>
      </c>
      <c r="C5" s="36" t="s">
        <v>33</v>
      </c>
      <c r="D5" s="36" t="s">
        <v>34</v>
      </c>
      <c r="E5" s="36" t="s">
        <v>35</v>
      </c>
      <c r="F5" s="36" t="s">
        <v>36</v>
      </c>
      <c r="G5" s="36" t="s">
        <v>37</v>
      </c>
      <c r="H5" s="36" t="s">
        <v>37</v>
      </c>
      <c r="I5" s="36" t="s">
        <v>35</v>
      </c>
      <c r="J5" s="36" t="s">
        <v>38</v>
      </c>
      <c r="K5" s="36" t="s">
        <v>39</v>
      </c>
      <c r="L5" s="36" t="s">
        <v>40</v>
      </c>
      <c r="M5" s="33" t="str">
        <f>週菜單!T7</f>
        <v>雞腿飯</v>
      </c>
      <c r="N5" s="33" t="str">
        <f>週菜單!T8</f>
        <v>鐵路便當</v>
      </c>
      <c r="O5" s="33" t="e">
        <f>週菜單!#REF!</f>
        <v>#REF!</v>
      </c>
      <c r="P5" s="33" t="str">
        <f>週菜單!T9</f>
        <v>燒烤腿排</v>
      </c>
      <c r="Q5" s="33" t="str">
        <f>週菜單!T22</f>
        <v>紅燒牛肉麵</v>
      </c>
      <c r="R5" s="33" t="str">
        <f>週菜單!T23</f>
        <v>元氣小火鍋</v>
      </c>
      <c r="S5" s="33" t="str">
        <f>週菜單!T24</f>
        <v>白油炒手麵</v>
      </c>
      <c r="T5" s="33" t="e">
        <f>週菜單!#REF!</f>
        <v>#REF!</v>
      </c>
      <c r="U5" s="36" t="str">
        <f>週菜單!T15</f>
        <v>韭菜豆芽</v>
      </c>
      <c r="V5" s="36" t="str">
        <f>週菜單!T16</f>
        <v>玉米豆腐</v>
      </c>
      <c r="W5" s="36" t="str">
        <f>週菜單!T17</f>
        <v>塔香海帶根</v>
      </c>
      <c r="X5" s="36">
        <f>週菜單!T18</f>
        <v>0</v>
      </c>
      <c r="Y5" s="36" t="s">
        <v>40</v>
      </c>
      <c r="Z5" s="36" t="s">
        <v>40</v>
      </c>
      <c r="AA5" s="36" t="s">
        <v>40</v>
      </c>
    </row>
    <row r="6" spans="1:27" s="36" customFormat="1">
      <c r="A6" s="36" t="s">
        <v>32</v>
      </c>
      <c r="B6" s="37">
        <f>週菜單!Y4</f>
        <v>45982</v>
      </c>
      <c r="C6" s="36" t="s">
        <v>33</v>
      </c>
      <c r="D6" s="36" t="s">
        <v>34</v>
      </c>
      <c r="E6" s="36" t="s">
        <v>35</v>
      </c>
      <c r="F6" s="36" t="s">
        <v>36</v>
      </c>
      <c r="G6" s="36" t="s">
        <v>37</v>
      </c>
      <c r="H6" s="36" t="s">
        <v>37</v>
      </c>
      <c r="I6" s="36" t="s">
        <v>35</v>
      </c>
      <c r="J6" s="36" t="s">
        <v>38</v>
      </c>
      <c r="K6" s="36" t="s">
        <v>39</v>
      </c>
      <c r="L6" s="36" t="s">
        <v>40</v>
      </c>
      <c r="M6" s="33" t="str">
        <f>週菜單!Z7</f>
        <v>雞腿飯</v>
      </c>
      <c r="N6" s="33" t="str">
        <f>週菜單!Z8</f>
        <v>香酥雞排</v>
      </c>
      <c r="O6" s="33" t="e">
        <f>週菜單!#REF!</f>
        <v>#REF!</v>
      </c>
      <c r="P6" s="33" t="str">
        <f>週菜單!Z9</f>
        <v>紅燒雞丁</v>
      </c>
      <c r="Q6" s="33" t="str">
        <f>週菜單!Z22</f>
        <v>滷味燙套餐</v>
      </c>
      <c r="R6" s="33" t="str">
        <f>週菜單!Z23</f>
        <v>麻辣臭豆腐鴨血</v>
      </c>
      <c r="S6" s="33" t="str">
        <f>週菜單!Z24</f>
        <v>泡菜燒肉拌麵</v>
      </c>
      <c r="T6" s="33" t="e">
        <f>週菜單!#REF!</f>
        <v>#REF!</v>
      </c>
      <c r="U6" s="36" t="str">
        <f>週菜單!Z15</f>
        <v>小黃瓜素雞</v>
      </c>
      <c r="V6" s="36" t="str">
        <f>週菜單!Z16</f>
        <v>咖哩洋芋</v>
      </c>
      <c r="W6" s="36" t="str">
        <f>週菜單!Z17</f>
        <v>香菇四季豆</v>
      </c>
      <c r="X6" s="36">
        <f>週菜單!Z18</f>
        <v>0</v>
      </c>
      <c r="Y6" s="36" t="s">
        <v>40</v>
      </c>
      <c r="Z6" s="36" t="s">
        <v>40</v>
      </c>
      <c r="AA6" s="36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497C-85F1-4FD0-B7C6-44186B67AD3B}">
  <dimension ref="A1:F49"/>
  <sheetViews>
    <sheetView topLeftCell="A13" workbookViewId="0">
      <selection activeCell="A36" sqref="A36"/>
    </sheetView>
  </sheetViews>
  <sheetFormatPr defaultRowHeight="16.149999999999999"/>
  <cols>
    <col min="1" max="1" width="18.1328125" customWidth="1"/>
  </cols>
  <sheetData>
    <row r="1" spans="1:5">
      <c r="A1" t="s">
        <v>138</v>
      </c>
      <c r="B1" t="s">
        <v>139</v>
      </c>
      <c r="C1" t="s">
        <v>140</v>
      </c>
      <c r="D1" t="s">
        <v>141</v>
      </c>
      <c r="E1" t="s">
        <v>142</v>
      </c>
    </row>
    <row r="2" spans="1:5">
      <c r="A2" t="s">
        <v>84</v>
      </c>
      <c r="B2">
        <v>80</v>
      </c>
      <c r="D2">
        <v>487</v>
      </c>
      <c r="E2" t="s">
        <v>143</v>
      </c>
    </row>
    <row r="3" spans="1:5">
      <c r="A3" t="s">
        <v>101</v>
      </c>
      <c r="B3">
        <v>80</v>
      </c>
      <c r="D3">
        <v>490.7</v>
      </c>
      <c r="E3" t="s">
        <v>143</v>
      </c>
    </row>
    <row r="4" spans="1:5">
      <c r="A4" t="s">
        <v>85</v>
      </c>
      <c r="B4">
        <v>80</v>
      </c>
      <c r="D4">
        <v>571</v>
      </c>
      <c r="E4" t="s">
        <v>144</v>
      </c>
    </row>
    <row r="5" spans="1:5">
      <c r="A5" t="s">
        <v>122</v>
      </c>
      <c r="B5">
        <v>80</v>
      </c>
      <c r="D5">
        <v>467</v>
      </c>
      <c r="E5" t="s">
        <v>143</v>
      </c>
    </row>
    <row r="6" spans="1:5">
      <c r="A6" t="s">
        <v>145</v>
      </c>
      <c r="B6">
        <v>80</v>
      </c>
      <c r="D6">
        <v>536.6</v>
      </c>
      <c r="E6" t="s">
        <v>136</v>
      </c>
    </row>
    <row r="7" spans="1:5">
      <c r="A7" t="s">
        <v>146</v>
      </c>
      <c r="B7">
        <v>80</v>
      </c>
      <c r="D7">
        <v>652.5</v>
      </c>
      <c r="E7" t="s">
        <v>147</v>
      </c>
    </row>
    <row r="8" spans="1:5">
      <c r="A8" t="s">
        <v>148</v>
      </c>
      <c r="B8">
        <v>80</v>
      </c>
      <c r="D8">
        <v>491.2</v>
      </c>
      <c r="E8" t="s">
        <v>136</v>
      </c>
    </row>
    <row r="9" spans="1:5">
      <c r="A9" t="s">
        <v>131</v>
      </c>
      <c r="B9">
        <v>130</v>
      </c>
      <c r="D9">
        <v>500.5</v>
      </c>
      <c r="E9" t="s">
        <v>133</v>
      </c>
    </row>
    <row r="10" spans="1:5">
      <c r="A10" t="s">
        <v>149</v>
      </c>
      <c r="B10">
        <v>80</v>
      </c>
      <c r="D10">
        <v>568.4</v>
      </c>
      <c r="E10" t="s">
        <v>291</v>
      </c>
    </row>
    <row r="11" spans="1:5">
      <c r="A11" t="s">
        <v>134</v>
      </c>
      <c r="B11">
        <v>80</v>
      </c>
      <c r="D11">
        <v>511.9</v>
      </c>
      <c r="E11" t="s">
        <v>136</v>
      </c>
    </row>
    <row r="12" spans="1:5">
      <c r="A12" t="s">
        <v>135</v>
      </c>
      <c r="B12">
        <v>80</v>
      </c>
      <c r="D12">
        <v>571.5</v>
      </c>
      <c r="E12" t="s">
        <v>137</v>
      </c>
    </row>
    <row r="13" spans="1:5">
      <c r="A13" t="s">
        <v>132</v>
      </c>
      <c r="B13">
        <v>80</v>
      </c>
      <c r="D13">
        <v>615.5</v>
      </c>
      <c r="E13" t="s">
        <v>133</v>
      </c>
    </row>
    <row r="14" spans="1:5">
      <c r="A14" t="s">
        <v>171</v>
      </c>
      <c r="B14">
        <v>80</v>
      </c>
      <c r="D14">
        <v>588.5</v>
      </c>
      <c r="E14" t="s">
        <v>210</v>
      </c>
    </row>
    <row r="15" spans="1:5">
      <c r="A15" t="s">
        <v>172</v>
      </c>
      <c r="B15">
        <v>80</v>
      </c>
      <c r="D15">
        <v>572.70000000000005</v>
      </c>
      <c r="E15" t="s">
        <v>125</v>
      </c>
    </row>
    <row r="16" spans="1:5">
      <c r="A16" t="s">
        <v>173</v>
      </c>
      <c r="B16">
        <v>80</v>
      </c>
      <c r="D16">
        <v>553</v>
      </c>
      <c r="E16" t="s">
        <v>211</v>
      </c>
    </row>
    <row r="17" spans="1:5">
      <c r="A17" t="s">
        <v>179</v>
      </c>
      <c r="B17">
        <v>80</v>
      </c>
      <c r="D17">
        <v>487</v>
      </c>
      <c r="E17" t="s">
        <v>212</v>
      </c>
    </row>
    <row r="18" spans="1:5">
      <c r="A18" t="s">
        <v>180</v>
      </c>
      <c r="B18">
        <v>80</v>
      </c>
      <c r="D18">
        <v>554</v>
      </c>
      <c r="E18" t="s">
        <v>210</v>
      </c>
    </row>
    <row r="19" spans="1:5">
      <c r="A19" t="s">
        <v>188</v>
      </c>
      <c r="B19">
        <v>80</v>
      </c>
      <c r="D19">
        <v>528.5</v>
      </c>
      <c r="E19" t="s">
        <v>125</v>
      </c>
    </row>
    <row r="20" spans="1:5">
      <c r="A20" t="s">
        <v>120</v>
      </c>
      <c r="B20">
        <v>80</v>
      </c>
      <c r="D20">
        <v>583.70000000000005</v>
      </c>
      <c r="E20" t="s">
        <v>213</v>
      </c>
    </row>
    <row r="21" spans="1:5">
      <c r="A21" t="s">
        <v>195</v>
      </c>
      <c r="B21">
        <v>80</v>
      </c>
      <c r="D21">
        <v>509.5</v>
      </c>
      <c r="E21" t="s">
        <v>214</v>
      </c>
    </row>
    <row r="22" spans="1:5">
      <c r="A22" t="s">
        <v>196</v>
      </c>
      <c r="B22">
        <v>80</v>
      </c>
      <c r="D22">
        <v>561.79999999999995</v>
      </c>
      <c r="E22" t="s">
        <v>128</v>
      </c>
    </row>
    <row r="23" spans="1:5">
      <c r="A23" t="s">
        <v>203</v>
      </c>
      <c r="B23">
        <v>80</v>
      </c>
      <c r="D23">
        <v>605.5</v>
      </c>
      <c r="E23" t="s">
        <v>215</v>
      </c>
    </row>
    <row r="24" spans="1:5">
      <c r="A24" t="s">
        <v>204</v>
      </c>
      <c r="B24">
        <v>80</v>
      </c>
      <c r="D24">
        <v>583.70000000000005</v>
      </c>
      <c r="E24" t="s">
        <v>216</v>
      </c>
    </row>
    <row r="25" spans="1:5">
      <c r="A25" t="s">
        <v>219</v>
      </c>
      <c r="B25">
        <v>80</v>
      </c>
      <c r="E25" t="s">
        <v>214</v>
      </c>
    </row>
    <row r="26" spans="1:5">
      <c r="A26" t="s">
        <v>220</v>
      </c>
    </row>
    <row r="27" spans="1:5">
      <c r="A27" t="s">
        <v>217</v>
      </c>
      <c r="E27" t="s">
        <v>221</v>
      </c>
    </row>
    <row r="28" spans="1:5">
      <c r="A28" t="s">
        <v>218</v>
      </c>
      <c r="E28" t="s">
        <v>211</v>
      </c>
    </row>
    <row r="29" spans="1:5">
      <c r="A29" t="s">
        <v>244</v>
      </c>
      <c r="B29">
        <v>80</v>
      </c>
      <c r="D29">
        <v>566</v>
      </c>
      <c r="E29" t="s">
        <v>248</v>
      </c>
    </row>
    <row r="30" spans="1:5">
      <c r="A30" t="s">
        <v>110</v>
      </c>
      <c r="B30">
        <v>80</v>
      </c>
      <c r="D30">
        <v>595.20000000000005</v>
      </c>
      <c r="E30" t="s">
        <v>128</v>
      </c>
    </row>
    <row r="31" spans="1:5">
      <c r="A31" t="s">
        <v>117</v>
      </c>
      <c r="B31">
        <v>80</v>
      </c>
      <c r="D31">
        <v>435.9</v>
      </c>
      <c r="E31" t="s">
        <v>249</v>
      </c>
    </row>
    <row r="32" spans="1:5">
      <c r="A32" t="s">
        <v>109</v>
      </c>
      <c r="B32">
        <v>80</v>
      </c>
      <c r="D32">
        <v>583.70000000000005</v>
      </c>
      <c r="E32" t="s">
        <v>128</v>
      </c>
    </row>
    <row r="33" spans="1:6">
      <c r="A33" t="s">
        <v>282</v>
      </c>
      <c r="B33">
        <v>80</v>
      </c>
      <c r="E33" t="s">
        <v>290</v>
      </c>
      <c r="F33" t="s">
        <v>164</v>
      </c>
    </row>
    <row r="34" spans="1:6">
      <c r="A34" t="s">
        <v>288</v>
      </c>
      <c r="B34">
        <v>80</v>
      </c>
      <c r="E34" t="s">
        <v>291</v>
      </c>
    </row>
    <row r="35" spans="1:6">
      <c r="A35" t="s">
        <v>281</v>
      </c>
      <c r="B35">
        <v>80</v>
      </c>
      <c r="E35" t="s">
        <v>215</v>
      </c>
    </row>
    <row r="36" spans="1:6">
      <c r="A36" t="s">
        <v>287</v>
      </c>
      <c r="B36">
        <v>80</v>
      </c>
      <c r="E36" t="s">
        <v>128</v>
      </c>
    </row>
    <row r="37" spans="1:6">
      <c r="A37" t="s">
        <v>283</v>
      </c>
      <c r="B37">
        <v>80</v>
      </c>
      <c r="E37" t="s">
        <v>210</v>
      </c>
    </row>
    <row r="38" spans="1:6">
      <c r="A38" t="s">
        <v>316</v>
      </c>
      <c r="B38">
        <v>80</v>
      </c>
      <c r="E38" t="s">
        <v>215</v>
      </c>
    </row>
    <row r="39" spans="1:6">
      <c r="A39" t="s">
        <v>318</v>
      </c>
      <c r="B39">
        <v>80</v>
      </c>
      <c r="E39" t="s">
        <v>212</v>
      </c>
    </row>
    <row r="40" spans="1:6">
      <c r="A40" t="s">
        <v>319</v>
      </c>
      <c r="B40">
        <v>80</v>
      </c>
      <c r="E40" t="s">
        <v>290</v>
      </c>
    </row>
    <row r="41" spans="1:6">
      <c r="A41" t="s">
        <v>323</v>
      </c>
      <c r="B41">
        <v>80</v>
      </c>
      <c r="E41" t="s">
        <v>214</v>
      </c>
    </row>
    <row r="42" spans="1:6">
      <c r="A42" t="s">
        <v>317</v>
      </c>
      <c r="B42">
        <v>80</v>
      </c>
      <c r="E42" t="s">
        <v>210</v>
      </c>
    </row>
    <row r="43" spans="1:6">
      <c r="A43" t="s">
        <v>347</v>
      </c>
      <c r="B43">
        <v>80</v>
      </c>
      <c r="E43" t="s">
        <v>213</v>
      </c>
    </row>
    <row r="44" spans="1:6">
      <c r="A44" t="s">
        <v>361</v>
      </c>
      <c r="B44" t="s">
        <v>362</v>
      </c>
      <c r="E44" t="s">
        <v>361</v>
      </c>
    </row>
    <row r="45" spans="1:6">
      <c r="A45" s="133" t="s">
        <v>369</v>
      </c>
      <c r="B45">
        <v>80</v>
      </c>
      <c r="E45" t="s">
        <v>128</v>
      </c>
    </row>
    <row r="46" spans="1:6">
      <c r="A46" t="s">
        <v>394</v>
      </c>
      <c r="E46" t="s">
        <v>215</v>
      </c>
    </row>
    <row r="47" spans="1:6">
      <c r="A47" t="s">
        <v>393</v>
      </c>
      <c r="E47" t="s">
        <v>214</v>
      </c>
    </row>
    <row r="48" spans="1:6">
      <c r="A48" t="s">
        <v>403</v>
      </c>
      <c r="E48" t="s">
        <v>136</v>
      </c>
    </row>
    <row r="49" spans="1:5">
      <c r="A49" t="s">
        <v>435</v>
      </c>
      <c r="E49" t="s">
        <v>436</v>
      </c>
    </row>
  </sheetData>
  <phoneticPr fontId="1" type="noConversion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F88A-6032-4FE7-887E-35F9F43C0F6F}">
  <dimension ref="A1:F253"/>
  <sheetViews>
    <sheetView topLeftCell="A233" workbookViewId="0">
      <selection activeCell="E253" sqref="E253"/>
    </sheetView>
  </sheetViews>
  <sheetFormatPr defaultRowHeight="16.149999999999999"/>
  <cols>
    <col min="1" max="1" width="16.3984375" bestFit="1" customWidth="1"/>
  </cols>
  <sheetData>
    <row r="1" spans="1:6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164</v>
      </c>
    </row>
    <row r="2" spans="1:6">
      <c r="A2" t="s">
        <v>61</v>
      </c>
      <c r="B2">
        <v>110</v>
      </c>
      <c r="D2">
        <v>782.6</v>
      </c>
    </row>
    <row r="3" spans="1:6">
      <c r="A3" t="s">
        <v>65</v>
      </c>
      <c r="B3">
        <v>85</v>
      </c>
      <c r="C3" t="s">
        <v>86</v>
      </c>
      <c r="D3">
        <v>666.6</v>
      </c>
      <c r="E3" t="s">
        <v>133</v>
      </c>
    </row>
    <row r="4" spans="1:6">
      <c r="A4" t="s">
        <v>66</v>
      </c>
      <c r="B4">
        <v>85</v>
      </c>
      <c r="C4" t="s">
        <v>87</v>
      </c>
      <c r="D4">
        <v>664.5</v>
      </c>
    </row>
    <row r="5" spans="1:6">
      <c r="A5" t="s">
        <v>67</v>
      </c>
      <c r="B5">
        <v>85</v>
      </c>
      <c r="C5" t="s">
        <v>88</v>
      </c>
      <c r="D5">
        <v>695</v>
      </c>
      <c r="E5" t="s">
        <v>252</v>
      </c>
    </row>
    <row r="6" spans="1:6">
      <c r="A6" t="s">
        <v>82</v>
      </c>
      <c r="B6">
        <v>80</v>
      </c>
      <c r="C6" t="s">
        <v>89</v>
      </c>
      <c r="D6">
        <v>563.6</v>
      </c>
      <c r="E6" t="s">
        <v>150</v>
      </c>
    </row>
    <row r="7" spans="1:6">
      <c r="A7" t="s">
        <v>151</v>
      </c>
      <c r="B7">
        <v>85</v>
      </c>
      <c r="C7" t="s">
        <v>87</v>
      </c>
      <c r="D7">
        <v>640.79999999999995</v>
      </c>
    </row>
    <row r="8" spans="1:6">
      <c r="A8" t="s">
        <v>68</v>
      </c>
      <c r="B8">
        <v>85</v>
      </c>
      <c r="C8" t="s">
        <v>152</v>
      </c>
      <c r="D8">
        <v>629.4</v>
      </c>
    </row>
    <row r="9" spans="1:6">
      <c r="A9" t="s">
        <v>119</v>
      </c>
      <c r="B9">
        <v>85</v>
      </c>
      <c r="C9" t="s">
        <v>88</v>
      </c>
      <c r="D9">
        <v>666.8</v>
      </c>
      <c r="E9" t="s">
        <v>128</v>
      </c>
    </row>
    <row r="10" spans="1:6">
      <c r="A10" t="s">
        <v>69</v>
      </c>
      <c r="B10">
        <v>80</v>
      </c>
      <c r="C10" t="s">
        <v>153</v>
      </c>
      <c r="D10">
        <v>611.5</v>
      </c>
      <c r="E10" t="s">
        <v>150</v>
      </c>
    </row>
    <row r="11" spans="1:6">
      <c r="A11" t="s">
        <v>154</v>
      </c>
      <c r="B11">
        <v>85</v>
      </c>
      <c r="C11" t="s">
        <v>152</v>
      </c>
      <c r="D11">
        <v>718.3</v>
      </c>
    </row>
    <row r="12" spans="1:6">
      <c r="A12" t="s">
        <v>70</v>
      </c>
      <c r="B12">
        <v>85</v>
      </c>
      <c r="C12" t="s">
        <v>87</v>
      </c>
      <c r="D12">
        <v>718</v>
      </c>
      <c r="E12" t="s">
        <v>155</v>
      </c>
    </row>
    <row r="13" spans="1:6">
      <c r="A13" t="s">
        <v>156</v>
      </c>
      <c r="B13">
        <v>85</v>
      </c>
      <c r="C13" t="s">
        <v>89</v>
      </c>
      <c r="D13">
        <v>713.5</v>
      </c>
    </row>
    <row r="14" spans="1:6">
      <c r="A14" t="s">
        <v>71</v>
      </c>
      <c r="B14">
        <v>80</v>
      </c>
      <c r="C14" t="s">
        <v>87</v>
      </c>
      <c r="D14">
        <v>558.1</v>
      </c>
      <c r="E14" t="s">
        <v>157</v>
      </c>
    </row>
    <row r="15" spans="1:6">
      <c r="A15" t="s">
        <v>63</v>
      </c>
      <c r="B15">
        <v>85</v>
      </c>
      <c r="C15" t="s">
        <v>152</v>
      </c>
      <c r="D15">
        <v>704.4</v>
      </c>
      <c r="E15" t="s">
        <v>133</v>
      </c>
    </row>
    <row r="16" spans="1:6">
      <c r="A16" t="s">
        <v>64</v>
      </c>
      <c r="B16">
        <v>85</v>
      </c>
      <c r="C16" t="s">
        <v>152</v>
      </c>
      <c r="D16">
        <v>657.2</v>
      </c>
    </row>
    <row r="17" spans="1:5">
      <c r="A17" t="s">
        <v>72</v>
      </c>
      <c r="B17">
        <v>85</v>
      </c>
      <c r="C17" t="s">
        <v>88</v>
      </c>
      <c r="D17">
        <v>690.1</v>
      </c>
      <c r="E17" t="s">
        <v>136</v>
      </c>
    </row>
    <row r="18" spans="1:5">
      <c r="A18" t="s">
        <v>158</v>
      </c>
      <c r="B18">
        <v>80</v>
      </c>
      <c r="C18" t="s">
        <v>159</v>
      </c>
      <c r="D18">
        <v>614.29999999999995</v>
      </c>
      <c r="E18" t="s">
        <v>133</v>
      </c>
    </row>
    <row r="19" spans="1:5">
      <c r="A19" t="s">
        <v>75</v>
      </c>
      <c r="E19" t="s">
        <v>160</v>
      </c>
    </row>
    <row r="20" spans="1:5">
      <c r="A20" t="s">
        <v>73</v>
      </c>
      <c r="E20" t="s">
        <v>133</v>
      </c>
    </row>
    <row r="21" spans="1:5">
      <c r="A21" t="s">
        <v>83</v>
      </c>
    </row>
    <row r="22" spans="1:5">
      <c r="A22" t="s">
        <v>74</v>
      </c>
    </row>
    <row r="23" spans="1:5">
      <c r="A23" t="s">
        <v>161</v>
      </c>
    </row>
    <row r="24" spans="1:5">
      <c r="A24" t="s">
        <v>76</v>
      </c>
    </row>
    <row r="25" spans="1:5">
      <c r="A25" t="s">
        <v>77</v>
      </c>
      <c r="E25" t="s">
        <v>130</v>
      </c>
    </row>
    <row r="26" spans="1:5">
      <c r="A26" t="s">
        <v>78</v>
      </c>
      <c r="E26" t="s">
        <v>160</v>
      </c>
    </row>
    <row r="27" spans="1:5">
      <c r="A27" t="s">
        <v>162</v>
      </c>
      <c r="E27" t="s">
        <v>150</v>
      </c>
    </row>
    <row r="28" spans="1:5">
      <c r="A28" t="s">
        <v>79</v>
      </c>
    </row>
    <row r="29" spans="1:5">
      <c r="A29" t="s">
        <v>80</v>
      </c>
      <c r="E29" t="s">
        <v>160</v>
      </c>
    </row>
    <row r="30" spans="1:5">
      <c r="A30" t="s">
        <v>163</v>
      </c>
    </row>
    <row r="31" spans="1:5">
      <c r="A31" t="s">
        <v>103</v>
      </c>
      <c r="B31">
        <v>85</v>
      </c>
      <c r="C31" t="s">
        <v>159</v>
      </c>
      <c r="D31">
        <v>733.1</v>
      </c>
      <c r="E31" t="s">
        <v>125</v>
      </c>
    </row>
    <row r="32" spans="1:5">
      <c r="A32" t="s">
        <v>165</v>
      </c>
      <c r="B32">
        <v>85</v>
      </c>
      <c r="C32" t="s">
        <v>87</v>
      </c>
      <c r="D32">
        <v>715.3</v>
      </c>
    </row>
    <row r="33" spans="1:5">
      <c r="A33" t="s">
        <v>166</v>
      </c>
      <c r="B33">
        <v>85</v>
      </c>
      <c r="C33" t="s">
        <v>88</v>
      </c>
      <c r="D33">
        <v>721.3</v>
      </c>
      <c r="E33" t="s">
        <v>128</v>
      </c>
    </row>
    <row r="34" spans="1:5">
      <c r="A34" t="s">
        <v>167</v>
      </c>
      <c r="B34">
        <v>80</v>
      </c>
      <c r="C34" t="s">
        <v>159</v>
      </c>
      <c r="D34">
        <v>576.4</v>
      </c>
      <c r="E34" t="s">
        <v>130</v>
      </c>
    </row>
    <row r="35" spans="1:5">
      <c r="A35" t="s">
        <v>168</v>
      </c>
    </row>
    <row r="36" spans="1:5">
      <c r="A36" t="s">
        <v>169</v>
      </c>
    </row>
    <row r="37" spans="1:5">
      <c r="A37" t="s">
        <v>170</v>
      </c>
      <c r="E37" t="s">
        <v>130</v>
      </c>
    </row>
    <row r="38" spans="1:5">
      <c r="A38" t="s">
        <v>174</v>
      </c>
      <c r="B38">
        <v>85</v>
      </c>
      <c r="C38" t="s">
        <v>152</v>
      </c>
      <c r="D38">
        <v>688.4</v>
      </c>
    </row>
    <row r="39" spans="1:5">
      <c r="A39" t="s">
        <v>175</v>
      </c>
      <c r="B39">
        <v>85</v>
      </c>
      <c r="C39" t="s">
        <v>87</v>
      </c>
      <c r="D39">
        <v>659.7</v>
      </c>
    </row>
    <row r="40" spans="1:5">
      <c r="A40" t="s">
        <v>176</v>
      </c>
      <c r="B40">
        <v>85</v>
      </c>
      <c r="C40" t="s">
        <v>88</v>
      </c>
      <c r="D40">
        <v>711.7</v>
      </c>
    </row>
    <row r="41" spans="1:5">
      <c r="A41" t="s">
        <v>116</v>
      </c>
      <c r="B41">
        <v>80</v>
      </c>
      <c r="C41" t="s">
        <v>87</v>
      </c>
      <c r="D41">
        <v>599.70000000000005</v>
      </c>
      <c r="E41" t="s">
        <v>205</v>
      </c>
    </row>
    <row r="42" spans="1:5">
      <c r="A42" t="s">
        <v>177</v>
      </c>
      <c r="E42" t="s">
        <v>127</v>
      </c>
    </row>
    <row r="43" spans="1:5">
      <c r="A43" t="s">
        <v>178</v>
      </c>
      <c r="E43" t="s">
        <v>127</v>
      </c>
    </row>
    <row r="44" spans="1:5">
      <c r="A44" t="s">
        <v>44</v>
      </c>
    </row>
    <row r="45" spans="1:5">
      <c r="A45" t="s">
        <v>181</v>
      </c>
      <c r="B45">
        <v>85</v>
      </c>
      <c r="C45" t="s">
        <v>87</v>
      </c>
      <c r="D45">
        <v>689.3</v>
      </c>
      <c r="E45" t="s">
        <v>206</v>
      </c>
    </row>
    <row r="46" spans="1:5">
      <c r="A46" t="s">
        <v>182</v>
      </c>
      <c r="B46">
        <v>85</v>
      </c>
      <c r="C46" t="s">
        <v>159</v>
      </c>
      <c r="D46">
        <v>714</v>
      </c>
      <c r="E46" t="s">
        <v>125</v>
      </c>
    </row>
    <row r="47" spans="1:5">
      <c r="A47" t="s">
        <v>183</v>
      </c>
      <c r="B47">
        <v>85</v>
      </c>
      <c r="C47" t="s">
        <v>152</v>
      </c>
      <c r="D47">
        <v>689.3</v>
      </c>
    </row>
    <row r="48" spans="1:5">
      <c r="A48" t="s">
        <v>184</v>
      </c>
      <c r="B48">
        <v>80</v>
      </c>
      <c r="C48" t="s">
        <v>159</v>
      </c>
      <c r="D48">
        <v>629.79999999999995</v>
      </c>
      <c r="E48" t="s">
        <v>130</v>
      </c>
    </row>
    <row r="49" spans="1:5">
      <c r="A49" t="s">
        <v>185</v>
      </c>
    </row>
    <row r="50" spans="1:5">
      <c r="A50" t="s">
        <v>186</v>
      </c>
      <c r="E50" t="s">
        <v>127</v>
      </c>
    </row>
    <row r="51" spans="1:5">
      <c r="A51" t="s">
        <v>187</v>
      </c>
      <c r="E51" t="s">
        <v>129</v>
      </c>
    </row>
    <row r="52" spans="1:5">
      <c r="A52" t="s">
        <v>105</v>
      </c>
      <c r="B52">
        <v>85</v>
      </c>
      <c r="C52" t="s">
        <v>159</v>
      </c>
      <c r="D52">
        <v>763.5</v>
      </c>
      <c r="E52" t="s">
        <v>125</v>
      </c>
    </row>
    <row r="53" spans="1:5">
      <c r="A53" t="s">
        <v>189</v>
      </c>
      <c r="B53">
        <v>85</v>
      </c>
      <c r="C53" t="s">
        <v>152</v>
      </c>
      <c r="D53">
        <v>713.3</v>
      </c>
    </row>
    <row r="54" spans="1:5">
      <c r="A54" t="s">
        <v>190</v>
      </c>
      <c r="B54">
        <v>85</v>
      </c>
      <c r="C54" t="s">
        <v>89</v>
      </c>
      <c r="D54">
        <v>722.59999999999991</v>
      </c>
    </row>
    <row r="55" spans="1:5">
      <c r="A55" t="s">
        <v>191</v>
      </c>
      <c r="B55">
        <v>80</v>
      </c>
      <c r="C55" t="s">
        <v>152</v>
      </c>
      <c r="D55">
        <v>580.6</v>
      </c>
      <c r="E55" t="s">
        <v>207</v>
      </c>
    </row>
    <row r="56" spans="1:5">
      <c r="A56" t="s">
        <v>192</v>
      </c>
    </row>
    <row r="57" spans="1:5">
      <c r="A57" t="s">
        <v>193</v>
      </c>
      <c r="E57" t="s">
        <v>208</v>
      </c>
    </row>
    <row r="58" spans="1:5">
      <c r="A58" t="s">
        <v>194</v>
      </c>
      <c r="E58" t="s">
        <v>127</v>
      </c>
    </row>
    <row r="59" spans="1:5">
      <c r="A59" t="s">
        <v>197</v>
      </c>
      <c r="B59">
        <v>85</v>
      </c>
      <c r="C59" t="s">
        <v>152</v>
      </c>
      <c r="D59">
        <v>659.7</v>
      </c>
    </row>
    <row r="60" spans="1:5">
      <c r="A60" t="s">
        <v>198</v>
      </c>
      <c r="B60">
        <v>85</v>
      </c>
      <c r="C60" t="s">
        <v>87</v>
      </c>
      <c r="D60">
        <v>664.5</v>
      </c>
    </row>
    <row r="61" spans="1:5">
      <c r="A61" t="s">
        <v>199</v>
      </c>
      <c r="B61">
        <v>85</v>
      </c>
      <c r="C61" t="s">
        <v>89</v>
      </c>
      <c r="D61">
        <v>717.3</v>
      </c>
      <c r="E61" t="s">
        <v>209</v>
      </c>
    </row>
    <row r="62" spans="1:5">
      <c r="A62" t="s">
        <v>121</v>
      </c>
      <c r="B62">
        <v>80</v>
      </c>
      <c r="C62" t="s">
        <v>159</v>
      </c>
      <c r="D62">
        <v>606.70000000000005</v>
      </c>
      <c r="E62" t="s">
        <v>126</v>
      </c>
    </row>
    <row r="63" spans="1:5">
      <c r="A63" t="s">
        <v>200</v>
      </c>
      <c r="E63" t="s">
        <v>125</v>
      </c>
    </row>
    <row r="64" spans="1:5">
      <c r="A64" t="s">
        <v>201</v>
      </c>
    </row>
    <row r="65" spans="1:5">
      <c r="A65" t="s">
        <v>202</v>
      </c>
      <c r="E65" t="s">
        <v>127</v>
      </c>
    </row>
    <row r="66" spans="1:5">
      <c r="A66" t="s">
        <v>222</v>
      </c>
      <c r="C66" t="s">
        <v>223</v>
      </c>
      <c r="E66" t="s">
        <v>129</v>
      </c>
    </row>
    <row r="67" spans="1:5">
      <c r="A67" t="s">
        <v>224</v>
      </c>
      <c r="B67">
        <v>85</v>
      </c>
      <c r="C67" t="s">
        <v>87</v>
      </c>
      <c r="D67">
        <v>675.5</v>
      </c>
      <c r="E67" t="s">
        <v>245</v>
      </c>
    </row>
    <row r="68" spans="1:5">
      <c r="A68" t="s">
        <v>112</v>
      </c>
      <c r="B68">
        <v>85</v>
      </c>
      <c r="C68" t="s">
        <v>88</v>
      </c>
      <c r="D68">
        <v>726.2</v>
      </c>
      <c r="E68" t="s">
        <v>125</v>
      </c>
    </row>
    <row r="69" spans="1:5">
      <c r="A69" t="s">
        <v>225</v>
      </c>
      <c r="B69">
        <v>85</v>
      </c>
      <c r="C69" t="s">
        <v>89</v>
      </c>
      <c r="D69">
        <v>674.2</v>
      </c>
    </row>
    <row r="70" spans="1:5">
      <c r="A70" t="s">
        <v>115</v>
      </c>
      <c r="B70">
        <v>80</v>
      </c>
      <c r="C70" t="s">
        <v>87</v>
      </c>
      <c r="D70">
        <v>488.4</v>
      </c>
      <c r="E70" t="s">
        <v>129</v>
      </c>
    </row>
    <row r="71" spans="1:5">
      <c r="A71" t="s">
        <v>226</v>
      </c>
      <c r="E71" t="s">
        <v>130</v>
      </c>
    </row>
    <row r="72" spans="1:5">
      <c r="A72" t="s">
        <v>227</v>
      </c>
      <c r="E72" t="s">
        <v>126</v>
      </c>
    </row>
    <row r="73" spans="1:5">
      <c r="A73" t="s">
        <v>228</v>
      </c>
    </row>
    <row r="74" spans="1:5">
      <c r="A74" t="s">
        <v>229</v>
      </c>
      <c r="B74">
        <v>85</v>
      </c>
      <c r="C74" t="s">
        <v>152</v>
      </c>
      <c r="D74">
        <v>702.3</v>
      </c>
    </row>
    <row r="75" spans="1:5">
      <c r="A75" t="s">
        <v>230</v>
      </c>
      <c r="B75">
        <v>85</v>
      </c>
      <c r="C75" t="s">
        <v>87</v>
      </c>
      <c r="D75">
        <v>711.6</v>
      </c>
    </row>
    <row r="76" spans="1:5">
      <c r="A76" t="s">
        <v>231</v>
      </c>
      <c r="B76">
        <v>80</v>
      </c>
      <c r="C76" t="s">
        <v>89</v>
      </c>
      <c r="D76">
        <v>509.5</v>
      </c>
      <c r="E76" t="s">
        <v>129</v>
      </c>
    </row>
    <row r="77" spans="1:5">
      <c r="A77" t="s">
        <v>236</v>
      </c>
      <c r="E77" t="s">
        <v>127</v>
      </c>
    </row>
    <row r="78" spans="1:5">
      <c r="A78" t="s">
        <v>237</v>
      </c>
    </row>
    <row r="79" spans="1:5">
      <c r="A79" t="s">
        <v>238</v>
      </c>
      <c r="E79" t="s">
        <v>127</v>
      </c>
    </row>
    <row r="80" spans="1:5">
      <c r="A80" t="s">
        <v>104</v>
      </c>
      <c r="B80">
        <v>85</v>
      </c>
      <c r="C80" t="s">
        <v>159</v>
      </c>
      <c r="D80">
        <v>727.3</v>
      </c>
      <c r="E80" t="s">
        <v>125</v>
      </c>
    </row>
    <row r="81" spans="1:5">
      <c r="A81" t="s">
        <v>232</v>
      </c>
      <c r="B81">
        <v>85</v>
      </c>
      <c r="C81" t="s">
        <v>233</v>
      </c>
      <c r="D81">
        <v>663.4</v>
      </c>
    </row>
    <row r="82" spans="1:5">
      <c r="A82" t="s">
        <v>106</v>
      </c>
      <c r="B82">
        <v>85</v>
      </c>
      <c r="C82" t="s">
        <v>87</v>
      </c>
      <c r="D82">
        <v>680.1</v>
      </c>
    </row>
    <row r="83" spans="1:5">
      <c r="A83" t="s">
        <v>108</v>
      </c>
      <c r="B83">
        <v>80</v>
      </c>
      <c r="C83" t="s">
        <v>234</v>
      </c>
      <c r="D83">
        <v>562.9</v>
      </c>
      <c r="E83" t="s">
        <v>246</v>
      </c>
    </row>
    <row r="84" spans="1:5">
      <c r="A84" t="s">
        <v>239</v>
      </c>
      <c r="E84" t="s">
        <v>127</v>
      </c>
    </row>
    <row r="85" spans="1:5">
      <c r="A85" t="s">
        <v>240</v>
      </c>
    </row>
    <row r="86" spans="1:5">
      <c r="A86" t="s">
        <v>241</v>
      </c>
    </row>
    <row r="87" spans="1:5">
      <c r="A87" t="s">
        <v>113</v>
      </c>
      <c r="B87">
        <v>85</v>
      </c>
      <c r="C87" t="s">
        <v>88</v>
      </c>
      <c r="D87">
        <v>743.3</v>
      </c>
      <c r="E87" t="s">
        <v>125</v>
      </c>
    </row>
    <row r="88" spans="1:5">
      <c r="A88" t="s">
        <v>114</v>
      </c>
      <c r="B88">
        <v>85</v>
      </c>
      <c r="C88" t="s">
        <v>87</v>
      </c>
      <c r="D88">
        <v>696.1</v>
      </c>
    </row>
    <row r="89" spans="1:5">
      <c r="A89" t="s">
        <v>235</v>
      </c>
      <c r="B89">
        <v>85</v>
      </c>
      <c r="C89" t="s">
        <v>87</v>
      </c>
      <c r="D89">
        <v>693.7</v>
      </c>
    </row>
    <row r="90" spans="1:5">
      <c r="A90" t="s">
        <v>107</v>
      </c>
      <c r="B90">
        <v>80</v>
      </c>
      <c r="C90" t="s">
        <v>87</v>
      </c>
      <c r="D90">
        <v>599.70000000000005</v>
      </c>
      <c r="E90" t="s">
        <v>247</v>
      </c>
    </row>
    <row r="91" spans="1:5">
      <c r="A91" t="s">
        <v>242</v>
      </c>
      <c r="E91" t="s">
        <v>127</v>
      </c>
    </row>
    <row r="92" spans="1:5">
      <c r="A92" t="s">
        <v>243</v>
      </c>
      <c r="E92" t="s">
        <v>127</v>
      </c>
    </row>
    <row r="93" spans="1:5">
      <c r="A93" t="s">
        <v>251</v>
      </c>
      <c r="B93">
        <v>85</v>
      </c>
      <c r="C93" t="s">
        <v>152</v>
      </c>
      <c r="D93">
        <v>702.3</v>
      </c>
    </row>
    <row r="94" spans="1:5">
      <c r="A94" t="s">
        <v>250</v>
      </c>
      <c r="B94">
        <v>85</v>
      </c>
      <c r="C94" t="s">
        <v>87</v>
      </c>
      <c r="D94">
        <v>674.2</v>
      </c>
    </row>
    <row r="95" spans="1:5">
      <c r="A95" t="s">
        <v>253</v>
      </c>
      <c r="E95" t="s">
        <v>126</v>
      </c>
    </row>
    <row r="96" spans="1:5">
      <c r="A96" t="s">
        <v>254</v>
      </c>
      <c r="E96" t="s">
        <v>255</v>
      </c>
    </row>
    <row r="97" spans="1:5">
      <c r="A97" t="s">
        <v>256</v>
      </c>
      <c r="E97" t="s">
        <v>155</v>
      </c>
    </row>
    <row r="98" spans="1:5">
      <c r="A98" t="s">
        <v>257</v>
      </c>
    </row>
    <row r="99" spans="1:5">
      <c r="A99" t="s">
        <v>258</v>
      </c>
      <c r="E99" t="s">
        <v>150</v>
      </c>
    </row>
    <row r="100" spans="1:5">
      <c r="A100" t="s">
        <v>259</v>
      </c>
      <c r="B100">
        <v>80</v>
      </c>
      <c r="C100" t="s">
        <v>87</v>
      </c>
      <c r="D100">
        <v>488.4</v>
      </c>
    </row>
    <row r="101" spans="1:5">
      <c r="A101" t="s">
        <v>269</v>
      </c>
    </row>
    <row r="102" spans="1:5">
      <c r="A102" t="s">
        <v>270</v>
      </c>
    </row>
    <row r="103" spans="1:5">
      <c r="A103" t="s">
        <v>271</v>
      </c>
      <c r="E103" t="s">
        <v>126</v>
      </c>
    </row>
    <row r="104" spans="1:5">
      <c r="A104" t="s">
        <v>260</v>
      </c>
      <c r="B104">
        <v>85</v>
      </c>
      <c r="C104" t="s">
        <v>261</v>
      </c>
    </row>
    <row r="105" spans="1:5">
      <c r="A105" t="s">
        <v>262</v>
      </c>
      <c r="B105">
        <v>85</v>
      </c>
      <c r="C105" t="s">
        <v>87</v>
      </c>
    </row>
    <row r="106" spans="1:5">
      <c r="A106" t="s">
        <v>263</v>
      </c>
      <c r="B106">
        <v>85</v>
      </c>
      <c r="C106" t="s">
        <v>159</v>
      </c>
      <c r="E106" t="s">
        <v>128</v>
      </c>
    </row>
    <row r="107" spans="1:5">
      <c r="A107" t="s">
        <v>272</v>
      </c>
      <c r="E107" t="s">
        <v>127</v>
      </c>
    </row>
    <row r="108" spans="1:5">
      <c r="A108" t="s">
        <v>273</v>
      </c>
    </row>
    <row r="109" spans="1:5">
      <c r="A109" t="s">
        <v>264</v>
      </c>
      <c r="B109">
        <v>85</v>
      </c>
      <c r="C109" t="s">
        <v>159</v>
      </c>
      <c r="E109" t="s">
        <v>125</v>
      </c>
    </row>
    <row r="110" spans="1:5">
      <c r="A110" t="s">
        <v>265</v>
      </c>
      <c r="B110">
        <v>80</v>
      </c>
      <c r="C110" t="s">
        <v>159</v>
      </c>
      <c r="E110" t="s">
        <v>208</v>
      </c>
    </row>
    <row r="111" spans="1:5">
      <c r="A111" t="s">
        <v>274</v>
      </c>
    </row>
    <row r="112" spans="1:5">
      <c r="A112" t="s">
        <v>286</v>
      </c>
      <c r="E112" t="s">
        <v>130</v>
      </c>
    </row>
    <row r="113" spans="1:5">
      <c r="A113" t="s">
        <v>266</v>
      </c>
      <c r="B113">
        <v>85</v>
      </c>
      <c r="C113" t="s">
        <v>88</v>
      </c>
      <c r="E113" t="s">
        <v>125</v>
      </c>
    </row>
    <row r="114" spans="1:5">
      <c r="A114" t="s">
        <v>267</v>
      </c>
      <c r="B114">
        <v>85</v>
      </c>
      <c r="C114" t="s">
        <v>87</v>
      </c>
    </row>
    <row r="115" spans="1:5">
      <c r="A115" t="s">
        <v>275</v>
      </c>
    </row>
    <row r="116" spans="1:5">
      <c r="A116" t="s">
        <v>276</v>
      </c>
      <c r="E116" t="s">
        <v>127</v>
      </c>
    </row>
    <row r="117" spans="1:5">
      <c r="A117" t="s">
        <v>277</v>
      </c>
      <c r="E117" t="s">
        <v>289</v>
      </c>
    </row>
    <row r="118" spans="1:5">
      <c r="A118" t="s">
        <v>285</v>
      </c>
      <c r="B118">
        <v>85</v>
      </c>
      <c r="C118" t="s">
        <v>152</v>
      </c>
    </row>
    <row r="119" spans="1:5">
      <c r="A119" t="s">
        <v>284</v>
      </c>
      <c r="B119">
        <v>85</v>
      </c>
      <c r="C119" t="s">
        <v>87</v>
      </c>
    </row>
    <row r="120" spans="1:5">
      <c r="A120" t="s">
        <v>268</v>
      </c>
      <c r="B120">
        <v>80</v>
      </c>
      <c r="C120" t="s">
        <v>159</v>
      </c>
      <c r="E120" t="s">
        <v>290</v>
      </c>
    </row>
    <row r="121" spans="1:5">
      <c r="A121" t="s">
        <v>278</v>
      </c>
      <c r="E121" t="s">
        <v>127</v>
      </c>
    </row>
    <row r="122" spans="1:5">
      <c r="A122" t="s">
        <v>279</v>
      </c>
      <c r="E122" t="s">
        <v>127</v>
      </c>
    </row>
    <row r="123" spans="1:5">
      <c r="A123" t="s">
        <v>280</v>
      </c>
      <c r="E123" t="s">
        <v>130</v>
      </c>
    </row>
    <row r="124" spans="1:5">
      <c r="A124" t="s">
        <v>296</v>
      </c>
      <c r="B124">
        <v>85</v>
      </c>
      <c r="C124" t="s">
        <v>233</v>
      </c>
    </row>
    <row r="125" spans="1:5">
      <c r="A125" t="s">
        <v>292</v>
      </c>
      <c r="B125">
        <v>85</v>
      </c>
      <c r="C125" t="s">
        <v>87</v>
      </c>
      <c r="E125" t="s">
        <v>128</v>
      </c>
    </row>
    <row r="126" spans="1:5">
      <c r="A126" t="s">
        <v>293</v>
      </c>
      <c r="B126">
        <v>85</v>
      </c>
      <c r="C126" t="s">
        <v>89</v>
      </c>
      <c r="E126" t="s">
        <v>125</v>
      </c>
    </row>
    <row r="127" spans="1:5">
      <c r="A127" t="s">
        <v>294</v>
      </c>
      <c r="B127">
        <v>85</v>
      </c>
      <c r="C127" t="s">
        <v>87</v>
      </c>
    </row>
    <row r="128" spans="1:5">
      <c r="A128" t="s">
        <v>295</v>
      </c>
      <c r="B128">
        <v>85</v>
      </c>
      <c r="C128" t="s">
        <v>88</v>
      </c>
      <c r="E128" t="s">
        <v>252</v>
      </c>
    </row>
    <row r="129" spans="1:5">
      <c r="A129" t="s">
        <v>297</v>
      </c>
      <c r="B129">
        <v>85</v>
      </c>
      <c r="C129" t="s">
        <v>87</v>
      </c>
    </row>
    <row r="130" spans="1:5">
      <c r="A130" t="s">
        <v>321</v>
      </c>
      <c r="B130">
        <v>80</v>
      </c>
      <c r="C130" t="s">
        <v>159</v>
      </c>
      <c r="E130" t="s">
        <v>322</v>
      </c>
    </row>
    <row r="131" spans="1:5">
      <c r="A131" t="s">
        <v>298</v>
      </c>
      <c r="B131">
        <v>85</v>
      </c>
      <c r="C131" t="s">
        <v>86</v>
      </c>
      <c r="D131">
        <v>671.8</v>
      </c>
      <c r="E131" t="s">
        <v>128</v>
      </c>
    </row>
    <row r="132" spans="1:5">
      <c r="A132" t="s">
        <v>299</v>
      </c>
      <c r="B132">
        <v>80</v>
      </c>
      <c r="C132" t="s">
        <v>159</v>
      </c>
      <c r="D132">
        <v>558.79999999999995</v>
      </c>
      <c r="E132" t="s">
        <v>290</v>
      </c>
    </row>
    <row r="133" spans="1:5">
      <c r="A133" t="s">
        <v>300</v>
      </c>
      <c r="B133">
        <v>85</v>
      </c>
      <c r="C133" t="s">
        <v>87</v>
      </c>
      <c r="E133" t="s">
        <v>125</v>
      </c>
    </row>
    <row r="134" spans="1:5">
      <c r="A134" t="s">
        <v>301</v>
      </c>
      <c r="B134">
        <v>85</v>
      </c>
      <c r="C134" t="s">
        <v>87</v>
      </c>
    </row>
    <row r="135" spans="1:5">
      <c r="A135" t="s">
        <v>302</v>
      </c>
    </row>
    <row r="136" spans="1:5">
      <c r="A136" t="s">
        <v>303</v>
      </c>
    </row>
    <row r="137" spans="1:5">
      <c r="A137" t="s">
        <v>304</v>
      </c>
    </row>
    <row r="138" spans="1:5">
      <c r="A138" t="s">
        <v>305</v>
      </c>
    </row>
    <row r="139" spans="1:5">
      <c r="A139" t="s">
        <v>306</v>
      </c>
      <c r="E139" t="s">
        <v>127</v>
      </c>
    </row>
    <row r="140" spans="1:5">
      <c r="A140" t="s">
        <v>307</v>
      </c>
    </row>
    <row r="141" spans="1:5">
      <c r="A141" t="s">
        <v>308</v>
      </c>
    </row>
    <row r="142" spans="1:5">
      <c r="A142" t="s">
        <v>309</v>
      </c>
    </row>
    <row r="143" spans="1:5">
      <c r="A143" t="s">
        <v>310</v>
      </c>
    </row>
    <row r="144" spans="1:5">
      <c r="A144" t="s">
        <v>311</v>
      </c>
      <c r="E144" t="s">
        <v>127</v>
      </c>
    </row>
    <row r="145" spans="1:5">
      <c r="A145" t="s">
        <v>312</v>
      </c>
      <c r="E145" t="s">
        <v>126</v>
      </c>
    </row>
    <row r="146" spans="1:5">
      <c r="A146" t="s">
        <v>313</v>
      </c>
    </row>
    <row r="147" spans="1:5">
      <c r="A147" t="s">
        <v>314</v>
      </c>
      <c r="E147" t="s">
        <v>127</v>
      </c>
    </row>
    <row r="148" spans="1:5">
      <c r="A148" t="s">
        <v>315</v>
      </c>
      <c r="E148" t="s">
        <v>126</v>
      </c>
    </row>
    <row r="149" spans="1:5">
      <c r="A149" t="s">
        <v>324</v>
      </c>
      <c r="B149">
        <v>85</v>
      </c>
      <c r="C149" t="s">
        <v>152</v>
      </c>
      <c r="D149">
        <v>715.5</v>
      </c>
      <c r="E149" t="s">
        <v>348</v>
      </c>
    </row>
    <row r="150" spans="1:5">
      <c r="A150" t="s">
        <v>333</v>
      </c>
    </row>
    <row r="151" spans="1:5">
      <c r="A151" t="s">
        <v>334</v>
      </c>
      <c r="E151" t="s">
        <v>127</v>
      </c>
    </row>
    <row r="152" spans="1:5">
      <c r="A152" t="s">
        <v>335</v>
      </c>
      <c r="E152" t="s">
        <v>127</v>
      </c>
    </row>
    <row r="153" spans="1:5">
      <c r="A153" t="s">
        <v>346</v>
      </c>
      <c r="B153">
        <v>85</v>
      </c>
      <c r="C153" t="s">
        <v>87</v>
      </c>
      <c r="E153" t="s">
        <v>130</v>
      </c>
    </row>
    <row r="154" spans="1:5">
      <c r="A154" t="s">
        <v>325</v>
      </c>
      <c r="B154">
        <v>80</v>
      </c>
      <c r="C154" t="s">
        <v>87</v>
      </c>
    </row>
    <row r="155" spans="1:5">
      <c r="A155" t="s">
        <v>336</v>
      </c>
    </row>
    <row r="156" spans="1:5">
      <c r="A156" t="s">
        <v>337</v>
      </c>
      <c r="E156" t="s">
        <v>130</v>
      </c>
    </row>
    <row r="157" spans="1:5">
      <c r="A157" t="s">
        <v>326</v>
      </c>
      <c r="B157">
        <v>85</v>
      </c>
      <c r="C157" t="s">
        <v>159</v>
      </c>
      <c r="D157">
        <v>704.6</v>
      </c>
      <c r="E157" t="s">
        <v>349</v>
      </c>
    </row>
    <row r="158" spans="1:5">
      <c r="A158" t="s">
        <v>327</v>
      </c>
      <c r="B158">
        <v>85</v>
      </c>
      <c r="C158" t="s">
        <v>87</v>
      </c>
      <c r="D158">
        <v>661.9</v>
      </c>
      <c r="E158" t="s">
        <v>206</v>
      </c>
    </row>
    <row r="159" spans="1:5">
      <c r="A159" t="s">
        <v>345</v>
      </c>
      <c r="B159">
        <v>80</v>
      </c>
      <c r="C159" t="s">
        <v>87</v>
      </c>
      <c r="D159">
        <v>645.59999999999991</v>
      </c>
      <c r="E159" t="s">
        <v>205</v>
      </c>
    </row>
    <row r="160" spans="1:5">
      <c r="A160" t="s">
        <v>338</v>
      </c>
      <c r="E160" t="s">
        <v>127</v>
      </c>
    </row>
    <row r="161" spans="1:5">
      <c r="A161" t="s">
        <v>339</v>
      </c>
    </row>
    <row r="162" spans="1:5">
      <c r="A162" t="s">
        <v>328</v>
      </c>
      <c r="B162">
        <v>85</v>
      </c>
      <c r="C162" t="s">
        <v>89</v>
      </c>
      <c r="D162">
        <v>743.3</v>
      </c>
      <c r="E162" t="s">
        <v>348</v>
      </c>
    </row>
    <row r="163" spans="1:5">
      <c r="A163" t="s">
        <v>329</v>
      </c>
      <c r="B163">
        <v>85</v>
      </c>
      <c r="C163" t="s">
        <v>159</v>
      </c>
      <c r="D163">
        <v>691.3</v>
      </c>
      <c r="E163" t="s">
        <v>125</v>
      </c>
    </row>
    <row r="164" spans="1:5">
      <c r="A164" t="s">
        <v>330</v>
      </c>
      <c r="B164">
        <v>85</v>
      </c>
      <c r="C164" t="s">
        <v>86</v>
      </c>
      <c r="D164">
        <v>719.7</v>
      </c>
      <c r="E164" t="s">
        <v>125</v>
      </c>
    </row>
    <row r="165" spans="1:5">
      <c r="A165" t="s">
        <v>340</v>
      </c>
      <c r="E165" t="s">
        <v>350</v>
      </c>
    </row>
    <row r="166" spans="1:5">
      <c r="A166" t="s">
        <v>341</v>
      </c>
      <c r="E166" t="s">
        <v>130</v>
      </c>
    </row>
    <row r="167" spans="1:5">
      <c r="A167" t="s">
        <v>342</v>
      </c>
      <c r="E167" t="s">
        <v>126</v>
      </c>
    </row>
    <row r="168" spans="1:5">
      <c r="A168" t="s">
        <v>331</v>
      </c>
      <c r="B168">
        <v>85</v>
      </c>
      <c r="C168" t="s">
        <v>88</v>
      </c>
      <c r="E168" t="s">
        <v>125</v>
      </c>
    </row>
    <row r="169" spans="1:5">
      <c r="A169" t="s">
        <v>332</v>
      </c>
      <c r="B169">
        <v>85</v>
      </c>
      <c r="C169" t="s">
        <v>233</v>
      </c>
    </row>
    <row r="170" spans="1:5">
      <c r="A170" t="s">
        <v>343</v>
      </c>
    </row>
    <row r="171" spans="1:5">
      <c r="A171" t="s">
        <v>344</v>
      </c>
      <c r="E171" t="s">
        <v>127</v>
      </c>
    </row>
    <row r="172" spans="1:5">
      <c r="A172" t="s">
        <v>354</v>
      </c>
      <c r="B172">
        <v>80</v>
      </c>
      <c r="C172" t="s">
        <v>159</v>
      </c>
      <c r="E172" t="s">
        <v>290</v>
      </c>
    </row>
    <row r="173" spans="1:5">
      <c r="A173" t="s">
        <v>351</v>
      </c>
    </row>
    <row r="174" spans="1:5">
      <c r="A174" t="s">
        <v>355</v>
      </c>
      <c r="E174" t="s">
        <v>127</v>
      </c>
    </row>
    <row r="175" spans="1:5">
      <c r="A175" t="s">
        <v>356</v>
      </c>
      <c r="E175" t="s">
        <v>127</v>
      </c>
    </row>
    <row r="176" spans="1:5">
      <c r="A176" t="s">
        <v>352</v>
      </c>
    </row>
    <row r="177" spans="1:5">
      <c r="A177" t="s">
        <v>357</v>
      </c>
    </row>
    <row r="178" spans="1:5">
      <c r="A178" t="s">
        <v>358</v>
      </c>
    </row>
    <row r="179" spans="1:5">
      <c r="A179" t="s">
        <v>359</v>
      </c>
      <c r="E179" t="s">
        <v>208</v>
      </c>
    </row>
    <row r="180" spans="1:5">
      <c r="A180" t="s">
        <v>360</v>
      </c>
      <c r="E180" t="s">
        <v>127</v>
      </c>
    </row>
    <row r="181" spans="1:5">
      <c r="A181" t="s">
        <v>361</v>
      </c>
      <c r="B181" t="s">
        <v>362</v>
      </c>
      <c r="E181" t="s">
        <v>361</v>
      </c>
    </row>
    <row r="182" spans="1:5">
      <c r="A182" t="s">
        <v>366</v>
      </c>
      <c r="E182" t="s">
        <v>127</v>
      </c>
    </row>
    <row r="183" spans="1:5">
      <c r="A183" t="s">
        <v>367</v>
      </c>
      <c r="E183" t="s">
        <v>125</v>
      </c>
    </row>
    <row r="184" spans="1:5">
      <c r="A184" t="s">
        <v>368</v>
      </c>
    </row>
    <row r="185" spans="1:5">
      <c r="A185" t="s">
        <v>364</v>
      </c>
    </row>
    <row r="186" spans="1:5">
      <c r="A186" t="s">
        <v>365</v>
      </c>
      <c r="B186">
        <v>85</v>
      </c>
      <c r="C186" t="s">
        <v>89</v>
      </c>
    </row>
    <row r="187" spans="1:5">
      <c r="A187" t="s">
        <v>363</v>
      </c>
      <c r="B187">
        <v>85</v>
      </c>
      <c r="C187" t="s">
        <v>87</v>
      </c>
    </row>
    <row r="188" spans="1:5">
      <c r="A188" t="s">
        <v>370</v>
      </c>
      <c r="B188">
        <v>85</v>
      </c>
      <c r="C188" t="s">
        <v>87</v>
      </c>
    </row>
    <row r="189" spans="1:5">
      <c r="A189" t="s">
        <v>371</v>
      </c>
    </row>
    <row r="190" spans="1:5">
      <c r="A190" t="s">
        <v>372</v>
      </c>
    </row>
    <row r="191" spans="1:5">
      <c r="A191" t="s">
        <v>373</v>
      </c>
      <c r="B191">
        <v>85</v>
      </c>
      <c r="C191" t="s">
        <v>152</v>
      </c>
    </row>
    <row r="192" spans="1:5">
      <c r="A192" t="s">
        <v>374</v>
      </c>
      <c r="B192">
        <v>80</v>
      </c>
      <c r="C192" t="s">
        <v>87</v>
      </c>
      <c r="E192" t="s">
        <v>126</v>
      </c>
    </row>
    <row r="193" spans="1:5">
      <c r="A193" t="s">
        <v>377</v>
      </c>
    </row>
    <row r="194" spans="1:5">
      <c r="A194" t="s">
        <v>378</v>
      </c>
      <c r="E194" t="s">
        <v>126</v>
      </c>
    </row>
    <row r="195" spans="1:5">
      <c r="A195" t="s">
        <v>379</v>
      </c>
      <c r="E195" t="s">
        <v>127</v>
      </c>
    </row>
    <row r="196" spans="1:5">
      <c r="A196" t="s">
        <v>380</v>
      </c>
    </row>
    <row r="197" spans="1:5">
      <c r="A197" t="s">
        <v>375</v>
      </c>
      <c r="B197">
        <v>85</v>
      </c>
      <c r="C197" t="s">
        <v>88</v>
      </c>
      <c r="E197" t="s">
        <v>125</v>
      </c>
    </row>
    <row r="198" spans="1:5">
      <c r="A198" t="s">
        <v>376</v>
      </c>
      <c r="B198">
        <v>85</v>
      </c>
      <c r="C198" t="s">
        <v>87</v>
      </c>
    </row>
    <row r="199" spans="1:5">
      <c r="A199" t="s">
        <v>381</v>
      </c>
      <c r="E199" t="s">
        <v>127</v>
      </c>
    </row>
    <row r="200" spans="1:5">
      <c r="A200" t="s">
        <v>382</v>
      </c>
      <c r="E200" t="s">
        <v>130</v>
      </c>
    </row>
    <row r="201" spans="1:5">
      <c r="A201" t="s">
        <v>383</v>
      </c>
    </row>
    <row r="202" spans="1:5">
      <c r="A202" t="s">
        <v>384</v>
      </c>
    </row>
    <row r="203" spans="1:5">
      <c r="A203" t="s">
        <v>385</v>
      </c>
      <c r="E203" t="s">
        <v>350</v>
      </c>
    </row>
    <row r="204" spans="1:5">
      <c r="A204" t="s">
        <v>386</v>
      </c>
    </row>
    <row r="205" spans="1:5">
      <c r="A205" t="s">
        <v>387</v>
      </c>
      <c r="E205" t="s">
        <v>125</v>
      </c>
    </row>
    <row r="206" spans="1:5">
      <c r="A206" t="s">
        <v>388</v>
      </c>
    </row>
    <row r="207" spans="1:5">
      <c r="A207" t="s">
        <v>396</v>
      </c>
      <c r="B207">
        <v>85</v>
      </c>
      <c r="C207" t="s">
        <v>87</v>
      </c>
      <c r="D207">
        <v>659.5</v>
      </c>
    </row>
    <row r="208" spans="1:5">
      <c r="A208" t="s">
        <v>389</v>
      </c>
      <c r="B208">
        <v>85</v>
      </c>
      <c r="C208" t="s">
        <v>159</v>
      </c>
      <c r="D208">
        <v>659.5</v>
      </c>
      <c r="E208" t="s">
        <v>128</v>
      </c>
    </row>
    <row r="209" spans="1:5">
      <c r="A209" t="s">
        <v>391</v>
      </c>
    </row>
    <row r="210" spans="1:5">
      <c r="A210" t="s">
        <v>392</v>
      </c>
    </row>
    <row r="211" spans="1:5">
      <c r="A211" t="s">
        <v>398</v>
      </c>
      <c r="E211" t="s">
        <v>125</v>
      </c>
    </row>
    <row r="212" spans="1:5">
      <c r="A212" t="s">
        <v>397</v>
      </c>
      <c r="B212">
        <v>85</v>
      </c>
      <c r="C212" t="s">
        <v>159</v>
      </c>
    </row>
    <row r="213" spans="1:5">
      <c r="A213" t="s">
        <v>390</v>
      </c>
      <c r="B213">
        <v>80</v>
      </c>
      <c r="C213" t="s">
        <v>159</v>
      </c>
      <c r="E213" t="s">
        <v>126</v>
      </c>
    </row>
    <row r="214" spans="1:5">
      <c r="A214" t="s">
        <v>51</v>
      </c>
    </row>
    <row r="215" spans="1:5">
      <c r="A215" t="s">
        <v>399</v>
      </c>
      <c r="B215">
        <v>85</v>
      </c>
      <c r="C215" t="s">
        <v>87</v>
      </c>
      <c r="E215" t="s">
        <v>125</v>
      </c>
    </row>
    <row r="216" spans="1:5">
      <c r="A216" t="s">
        <v>406</v>
      </c>
      <c r="B216">
        <v>80</v>
      </c>
      <c r="C216" t="s">
        <v>153</v>
      </c>
      <c r="E216" t="s">
        <v>349</v>
      </c>
    </row>
    <row r="217" spans="1:5">
      <c r="A217" t="s">
        <v>405</v>
      </c>
    </row>
    <row r="218" spans="1:5">
      <c r="A218" t="s">
        <v>401</v>
      </c>
      <c r="E218" t="s">
        <v>125</v>
      </c>
    </row>
    <row r="219" spans="1:5">
      <c r="A219" t="s">
        <v>408</v>
      </c>
    </row>
    <row r="220" spans="1:5">
      <c r="A220" t="s">
        <v>400</v>
      </c>
      <c r="B220">
        <v>85</v>
      </c>
      <c r="C220" t="s">
        <v>87</v>
      </c>
      <c r="E220" t="s">
        <v>130</v>
      </c>
    </row>
    <row r="221" spans="1:5">
      <c r="A221" t="s">
        <v>409</v>
      </c>
      <c r="E221" t="s">
        <v>127</v>
      </c>
    </row>
    <row r="222" spans="1:5">
      <c r="A222" t="s">
        <v>410</v>
      </c>
    </row>
    <row r="223" spans="1:5">
      <c r="A223" t="s">
        <v>404</v>
      </c>
      <c r="E223" t="s">
        <v>125</v>
      </c>
    </row>
    <row r="224" spans="1:5">
      <c r="A224" t="s">
        <v>407</v>
      </c>
      <c r="E224" t="s">
        <v>127</v>
      </c>
    </row>
    <row r="225" spans="1:6">
      <c r="A225" t="s">
        <v>402</v>
      </c>
      <c r="E225" t="s">
        <v>206</v>
      </c>
    </row>
    <row r="226" spans="1:6">
      <c r="A226" t="s">
        <v>411</v>
      </c>
    </row>
    <row r="227" spans="1:6">
      <c r="A227" t="s">
        <v>412</v>
      </c>
      <c r="E227" t="s">
        <v>125</v>
      </c>
    </row>
    <row r="228" spans="1:6">
      <c r="A228" t="s">
        <v>413</v>
      </c>
      <c r="B228">
        <v>85</v>
      </c>
      <c r="C228" t="s">
        <v>159</v>
      </c>
      <c r="E228" t="s">
        <v>125</v>
      </c>
      <c r="F228" t="s">
        <v>164</v>
      </c>
    </row>
    <row r="229" spans="1:6">
      <c r="A229" t="s">
        <v>416</v>
      </c>
    </row>
    <row r="230" spans="1:6">
      <c r="A230" t="s">
        <v>420</v>
      </c>
      <c r="B230">
        <v>85</v>
      </c>
      <c r="C230" t="s">
        <v>233</v>
      </c>
    </row>
    <row r="231" spans="1:6">
      <c r="A231" t="s">
        <v>417</v>
      </c>
      <c r="E231" t="s">
        <v>127</v>
      </c>
    </row>
    <row r="232" spans="1:6">
      <c r="A232" t="s">
        <v>414</v>
      </c>
      <c r="B232">
        <v>85</v>
      </c>
      <c r="C232" t="s">
        <v>159</v>
      </c>
    </row>
    <row r="233" spans="1:6">
      <c r="A233" t="s">
        <v>415</v>
      </c>
      <c r="B233">
        <v>85</v>
      </c>
      <c r="C233" t="s">
        <v>152</v>
      </c>
      <c r="E233" t="s">
        <v>130</v>
      </c>
    </row>
    <row r="234" spans="1:6">
      <c r="A234" t="s">
        <v>418</v>
      </c>
      <c r="E234" t="s">
        <v>125</v>
      </c>
    </row>
    <row r="235" spans="1:6">
      <c r="A235" t="s">
        <v>419</v>
      </c>
    </row>
    <row r="236" spans="1:6">
      <c r="A236" t="s">
        <v>421</v>
      </c>
      <c r="E236" t="s">
        <v>127</v>
      </c>
    </row>
    <row r="237" spans="1:6">
      <c r="A237" t="s">
        <v>422</v>
      </c>
      <c r="E237" t="s">
        <v>348</v>
      </c>
    </row>
    <row r="238" spans="1:6">
      <c r="A238" t="s">
        <v>423</v>
      </c>
    </row>
    <row r="239" spans="1:6">
      <c r="A239" t="s">
        <v>428</v>
      </c>
      <c r="E239" t="s">
        <v>128</v>
      </c>
    </row>
    <row r="240" spans="1:6">
      <c r="A240" t="s">
        <v>432</v>
      </c>
    </row>
    <row r="241" spans="1:5">
      <c r="A241" t="s">
        <v>433</v>
      </c>
    </row>
    <row r="242" spans="1:5">
      <c r="A242" t="s">
        <v>429</v>
      </c>
      <c r="E242" t="s">
        <v>252</v>
      </c>
    </row>
    <row r="243" spans="1:5">
      <c r="A243" t="s">
        <v>430</v>
      </c>
      <c r="E243" t="s">
        <v>437</v>
      </c>
    </row>
    <row r="244" spans="1:5">
      <c r="A244" t="s">
        <v>434</v>
      </c>
      <c r="E244" t="s">
        <v>127</v>
      </c>
    </row>
    <row r="245" spans="1:5">
      <c r="A245" t="s">
        <v>431</v>
      </c>
      <c r="E245" t="s">
        <v>125</v>
      </c>
    </row>
    <row r="246" spans="1:5">
      <c r="A246" t="s">
        <v>438</v>
      </c>
    </row>
    <row r="247" spans="1:5">
      <c r="A247" t="s">
        <v>456</v>
      </c>
    </row>
    <row r="248" spans="1:5">
      <c r="A248" t="s">
        <v>459</v>
      </c>
      <c r="E248" t="s">
        <v>126</v>
      </c>
    </row>
    <row r="249" spans="1:5">
      <c r="A249" t="s">
        <v>465</v>
      </c>
      <c r="E249" t="s">
        <v>129</v>
      </c>
    </row>
    <row r="250" spans="1:5">
      <c r="A250" t="s">
        <v>473</v>
      </c>
    </row>
    <row r="251" spans="1:5">
      <c r="A251" t="s">
        <v>482</v>
      </c>
    </row>
    <row r="252" spans="1:5">
      <c r="A252" t="s">
        <v>483</v>
      </c>
      <c r="E252" t="s">
        <v>126</v>
      </c>
    </row>
    <row r="253" spans="1:5">
      <c r="A253" t="s">
        <v>484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預購單 </vt:lpstr>
      <vt:lpstr>週菜單</vt:lpstr>
      <vt:lpstr>1117</vt:lpstr>
      <vt:lpstr>食登</vt:lpstr>
      <vt:lpstr>麵食資料庫</vt:lpstr>
      <vt:lpstr>簡餐資料庫</vt:lpstr>
      <vt:lpstr>週菜單!Print_Area</vt:lpstr>
      <vt:lpstr>'預購單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po01</dc:creator>
  <cp:lastModifiedBy>宜靜 李</cp:lastModifiedBy>
  <cp:lastPrinted>2025-05-06T01:51:55Z</cp:lastPrinted>
  <dcterms:created xsi:type="dcterms:W3CDTF">2012-03-20T06:23:20Z</dcterms:created>
  <dcterms:modified xsi:type="dcterms:W3CDTF">2025-10-09T03:42:06Z</dcterms:modified>
</cp:coreProperties>
</file>